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2A76F449-049B-44D9-828A-27728872EAB6}" xr6:coauthVersionLast="47" xr6:coauthVersionMax="47" xr10:uidLastSave="{00000000-0000-0000-0000-000000000000}"/>
  <bookViews>
    <workbookView xWindow="1536" yWindow="1536" windowWidth="17184" windowHeight="9804" tabRatio="765" firstSheet="1" activeTab="1" xr2:uid="{2975715D-1610-49E6-8E11-5EBA472643B7}"/>
  </bookViews>
  <sheets>
    <sheet name="Funds for BILLS " sheetId="24" r:id="rId1"/>
    <sheet name="BILL MEET " sheetId="22" r:id="rId2"/>
    <sheet name="STATUS" sheetId="21" r:id="rId3"/>
    <sheet name="BILLS 27 For Pay" sheetId="19" r:id="rId4"/>
    <sheet name="MahaSTRIDE BILLS 26" sheetId="14" r:id="rId5"/>
    <sheet name="EXPEND" sheetId="23" r:id="rId6"/>
    <sheet name=" DEMAND" sheetId="20" r:id="rId7"/>
    <sheet name="DEMAND-2" sheetId="1" r:id="rId8"/>
    <sheet name="BILLS 2027" sheetId="15" r:id="rId9"/>
    <sheet name="Minutes BILLS 16.3.2026" sheetId="12" r:id="rId10"/>
    <sheet name="BILLS 16.3.2026" sheetId="11" r:id="rId11"/>
    <sheet name="Pending Bills- MahaSTRIDE" sheetId="8" r:id="rId12"/>
    <sheet name="Sheet2" sheetId="9" r:id="rId13"/>
    <sheet name="Sheet2 (2)" sheetId="16" r:id="rId14"/>
    <sheet name="Sheet2 (4)" sheetId="18" r:id="rId15"/>
    <sheet name="Sheet2 (3)" sheetId="17" r:id="rId16"/>
  </sheets>
  <externalReferences>
    <externalReference r:id="rId17"/>
  </externalReferences>
  <definedNames>
    <definedName name="_xlnm.Print_Area" localSheetId="1">'BILL MEET '!$A$1:$H$23</definedName>
    <definedName name="_xlnm.Print_Area" localSheetId="10">'BILLS 16.3.2026'!$A$1:$I$38</definedName>
    <definedName name="_xlnm.Print_Area" localSheetId="8">'BILLS 2027'!$A$1:$AB$79</definedName>
    <definedName name="_xlnm.Print_Area" localSheetId="3">'BILLS 27 For Pay'!$A$1:$N$152</definedName>
    <definedName name="_xlnm.Print_Area" localSheetId="0">'Funds for BILLS '!$A$1:$I$95</definedName>
    <definedName name="_xlnm.Print_Area" localSheetId="4">'MahaSTRIDE BILLS 26'!$A$1:$I$98</definedName>
    <definedName name="_xlnm.Print_Area" localSheetId="9">'Minutes BILLS 16.3.2026'!$A$1:$I$40</definedName>
    <definedName name="_xlnm.Print_Area" localSheetId="11">'Pending Bills- MahaSTRIDE'!$A$1:$H$59</definedName>
    <definedName name="_xlnm.Print_Area" localSheetId="2">STATUS!$A$1:$G$77</definedName>
    <definedName name="_xlnm.Print_Titles" localSheetId="1">'BILL MEET '!$1:$2</definedName>
    <definedName name="_xlnm.Print_Titles" localSheetId="10">'BILLS 16.3.2026'!$2:$2</definedName>
    <definedName name="_xlnm.Print_Titles" localSheetId="8">'BILLS 2027'!$2:$2</definedName>
    <definedName name="_xlnm.Print_Titles" localSheetId="3">'BILLS 27 For Pay'!$1:$2</definedName>
    <definedName name="_xlnm.Print_Titles" localSheetId="0">'Funds for BILLS '!$1:$2</definedName>
    <definedName name="_xlnm.Print_Titles" localSheetId="4">'MahaSTRIDE BILLS 26'!$2:$2</definedName>
    <definedName name="_xlnm.Print_Titles" localSheetId="9">'Minutes BILLS 16.3.2026'!$2:$2</definedName>
    <definedName name="_xlnm.Print_Titles" localSheetId="2">STATUS!$1:$2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04" i="14" l="1"/>
  <c r="J103" i="14"/>
  <c r="G97" i="14"/>
  <c r="J23" i="24" l="1"/>
  <c r="J4" i="24"/>
  <c r="J5" i="24"/>
  <c r="J6" i="24"/>
  <c r="J7" i="24"/>
  <c r="J14" i="24"/>
  <c r="J15" i="24"/>
  <c r="J16" i="24"/>
  <c r="J24" i="24"/>
  <c r="J30" i="24"/>
  <c r="J31" i="24"/>
  <c r="J37" i="24"/>
  <c r="J38" i="24"/>
  <c r="J39" i="24"/>
  <c r="J40" i="24"/>
  <c r="J41" i="24"/>
  <c r="J42" i="24"/>
  <c r="J43" i="24"/>
  <c r="J44" i="24"/>
  <c r="J45" i="24"/>
  <c r="J53" i="24"/>
  <c r="J54" i="24"/>
  <c r="J60" i="24"/>
  <c r="J63" i="24"/>
  <c r="J73" i="24"/>
  <c r="J74" i="24"/>
  <c r="J75" i="24"/>
  <c r="J76" i="24"/>
  <c r="J77" i="24"/>
  <c r="J78" i="24"/>
  <c r="J79" i="24"/>
  <c r="J80" i="24"/>
  <c r="J81" i="24"/>
  <c r="J82" i="24"/>
  <c r="J83" i="24"/>
  <c r="J84" i="24"/>
  <c r="J85" i="24"/>
  <c r="J94" i="24"/>
  <c r="F93" i="24"/>
  <c r="R93" i="24" s="1"/>
  <c r="I65" i="24"/>
  <c r="J65" i="24" s="1"/>
  <c r="I66" i="24"/>
  <c r="J66" i="24" s="1"/>
  <c r="I67" i="24"/>
  <c r="J67" i="24" s="1"/>
  <c r="I64" i="24"/>
  <c r="J64" i="24" s="1"/>
  <c r="I87" i="24"/>
  <c r="J87" i="24" s="1"/>
  <c r="I86" i="24"/>
  <c r="J86" i="24" s="1"/>
  <c r="I68" i="24"/>
  <c r="J68" i="24" s="1"/>
  <c r="I62" i="24"/>
  <c r="J62" i="24" s="1"/>
  <c r="I61" i="24"/>
  <c r="J61" i="24" s="1"/>
  <c r="I59" i="24"/>
  <c r="J59" i="24" s="1"/>
  <c r="I58" i="24"/>
  <c r="J58" i="24" s="1"/>
  <c r="I57" i="24"/>
  <c r="J57" i="24" s="1"/>
  <c r="I56" i="24"/>
  <c r="J56" i="24" s="1"/>
  <c r="I55" i="24"/>
  <c r="J55" i="24" s="1"/>
  <c r="I47" i="24"/>
  <c r="J47" i="24" s="1"/>
  <c r="I48" i="24"/>
  <c r="J48" i="24" s="1"/>
  <c r="I49" i="24"/>
  <c r="J49" i="24" s="1"/>
  <c r="I50" i="24"/>
  <c r="J50" i="24" s="1"/>
  <c r="I51" i="24"/>
  <c r="J51" i="24" s="1"/>
  <c r="I52" i="24"/>
  <c r="J52" i="24" s="1"/>
  <c r="I46" i="24"/>
  <c r="J46" i="24" s="1"/>
  <c r="I36" i="24"/>
  <c r="J36" i="24" s="1"/>
  <c r="I35" i="24"/>
  <c r="J35" i="24" s="1"/>
  <c r="I34" i="24"/>
  <c r="J34" i="24" s="1"/>
  <c r="I33" i="24"/>
  <c r="J33" i="24" s="1"/>
  <c r="I32" i="24"/>
  <c r="J32" i="24" s="1"/>
  <c r="I26" i="24"/>
  <c r="J26" i="24" s="1"/>
  <c r="I27" i="24"/>
  <c r="J27" i="24" s="1"/>
  <c r="I28" i="24"/>
  <c r="J28" i="24" s="1"/>
  <c r="I29" i="24"/>
  <c r="J29" i="24" s="1"/>
  <c r="I25" i="24"/>
  <c r="J25" i="24" s="1"/>
  <c r="I18" i="24"/>
  <c r="J18" i="24" s="1"/>
  <c r="I19" i="24"/>
  <c r="J19" i="24" s="1"/>
  <c r="I20" i="24"/>
  <c r="J20" i="24" s="1"/>
  <c r="I21" i="24"/>
  <c r="J21" i="24" s="1"/>
  <c r="I22" i="24"/>
  <c r="J22" i="24" s="1"/>
  <c r="I17" i="24"/>
  <c r="J17" i="24" s="1"/>
  <c r="I9" i="24"/>
  <c r="J9" i="24" s="1"/>
  <c r="I10" i="24"/>
  <c r="J10" i="24" s="1"/>
  <c r="I11" i="24"/>
  <c r="J11" i="24" s="1"/>
  <c r="I12" i="24"/>
  <c r="J12" i="24" s="1"/>
  <c r="I13" i="24"/>
  <c r="J13" i="24" s="1"/>
  <c r="I8" i="24"/>
  <c r="I3" i="24"/>
  <c r="J3" i="24" s="1"/>
  <c r="H93" i="24"/>
  <c r="H92" i="24"/>
  <c r="H91" i="24"/>
  <c r="H90" i="24"/>
  <c r="H89" i="24"/>
  <c r="H88" i="24"/>
  <c r="H109" i="24"/>
  <c r="H108" i="24"/>
  <c r="N106" i="24"/>
  <c r="H106" i="24"/>
  <c r="H103" i="24"/>
  <c r="H100" i="24"/>
  <c r="X95" i="24"/>
  <c r="G112" i="24" s="1"/>
  <c r="W95" i="24"/>
  <c r="G111" i="24" s="1"/>
  <c r="N111" i="24" s="1"/>
  <c r="N95" i="24"/>
  <c r="E110" i="24" s="1"/>
  <c r="F92" i="24"/>
  <c r="S92" i="24" s="1"/>
  <c r="F91" i="24"/>
  <c r="S91" i="24" s="1"/>
  <c r="F90" i="24"/>
  <c r="S90" i="24" s="1"/>
  <c r="F89" i="24"/>
  <c r="S89" i="24" s="1"/>
  <c r="F88" i="24"/>
  <c r="T88" i="24" s="1"/>
  <c r="S87" i="24"/>
  <c r="S86" i="24"/>
  <c r="Y85" i="24"/>
  <c r="Y84" i="24"/>
  <c r="Y83" i="24"/>
  <c r="Y82" i="24"/>
  <c r="Y81" i="24"/>
  <c r="Y80" i="24"/>
  <c r="Y79" i="24"/>
  <c r="Y78" i="24"/>
  <c r="Y77" i="24"/>
  <c r="Y76" i="24"/>
  <c r="Y75" i="24"/>
  <c r="Y74" i="24"/>
  <c r="Y73" i="24"/>
  <c r="S72" i="24"/>
  <c r="H72" i="24"/>
  <c r="J72" i="24" s="1"/>
  <c r="R71" i="24"/>
  <c r="H71" i="24"/>
  <c r="O103" i="24" s="1"/>
  <c r="O104" i="24" s="1"/>
  <c r="V70" i="24"/>
  <c r="V95" i="24" s="1"/>
  <c r="G110" i="24" s="1"/>
  <c r="H70" i="24"/>
  <c r="J70" i="24" s="1"/>
  <c r="U69" i="24"/>
  <c r="H69" i="24"/>
  <c r="J69" i="24" s="1"/>
  <c r="M68" i="24"/>
  <c r="S63" i="24"/>
  <c r="S62" i="24"/>
  <c r="S61" i="24"/>
  <c r="S60" i="24"/>
  <c r="U59" i="24"/>
  <c r="U58" i="24"/>
  <c r="U57" i="24"/>
  <c r="R56" i="24"/>
  <c r="R55" i="24"/>
  <c r="R54" i="24"/>
  <c r="R53" i="24"/>
  <c r="M52" i="24"/>
  <c r="M51" i="24"/>
  <c r="M50" i="24"/>
  <c r="M49" i="24"/>
  <c r="M48" i="24"/>
  <c r="M47" i="24"/>
  <c r="M46" i="24"/>
  <c r="M45" i="24"/>
  <c r="M44" i="24"/>
  <c r="M43" i="24"/>
  <c r="M42" i="24"/>
  <c r="M41" i="24"/>
  <c r="M40" i="24"/>
  <c r="M39" i="24"/>
  <c r="M38" i="24"/>
  <c r="M37" i="24"/>
  <c r="M36" i="24"/>
  <c r="M35" i="24"/>
  <c r="M34" i="24"/>
  <c r="M33" i="24"/>
  <c r="M32" i="24"/>
  <c r="O31" i="24"/>
  <c r="O30" i="24"/>
  <c r="M29" i="24"/>
  <c r="M28" i="24"/>
  <c r="M27" i="24"/>
  <c r="M26" i="24"/>
  <c r="O25" i="24"/>
  <c r="O24" i="24"/>
  <c r="O23" i="24"/>
  <c r="M22" i="24"/>
  <c r="M21" i="24"/>
  <c r="M20" i="24"/>
  <c r="M19" i="24"/>
  <c r="M18" i="24"/>
  <c r="M17" i="24"/>
  <c r="M16" i="24"/>
  <c r="M15" i="24"/>
  <c r="M14" i="24"/>
  <c r="M13" i="24"/>
  <c r="M12" i="24"/>
  <c r="M11" i="24"/>
  <c r="O10" i="24"/>
  <c r="O9" i="24"/>
  <c r="O7" i="24"/>
  <c r="O6" i="24"/>
  <c r="O5" i="24"/>
  <c r="M4" i="24"/>
  <c r="O3" i="24"/>
  <c r="M3" i="19"/>
  <c r="K13" i="19"/>
  <c r="K14" i="19"/>
  <c r="K12" i="19"/>
  <c r="M11" i="19"/>
  <c r="M10" i="19"/>
  <c r="Q71" i="19"/>
  <c r="Q72" i="19"/>
  <c r="P64" i="19"/>
  <c r="P63" i="19"/>
  <c r="K57" i="19"/>
  <c r="K58" i="19"/>
  <c r="K56" i="19"/>
  <c r="K54" i="19"/>
  <c r="K53" i="19"/>
  <c r="K52" i="19"/>
  <c r="K31" i="19"/>
  <c r="K32" i="19"/>
  <c r="K33" i="19"/>
  <c r="K30" i="19"/>
  <c r="K38" i="19"/>
  <c r="K39" i="19"/>
  <c r="K40" i="19"/>
  <c r="K41" i="19"/>
  <c r="K37" i="19"/>
  <c r="M9" i="19" a="1"/>
  <c r="M9" i="19" s="1"/>
  <c r="K24" i="19"/>
  <c r="K25" i="19"/>
  <c r="K23" i="19"/>
  <c r="K20" i="19"/>
  <c r="K21" i="19"/>
  <c r="K19" i="19"/>
  <c r="J8" i="24" l="1"/>
  <c r="O8" i="24" s="1" a="1"/>
  <c r="H95" i="24"/>
  <c r="F95" i="24"/>
  <c r="J92" i="24"/>
  <c r="J91" i="24"/>
  <c r="J90" i="24"/>
  <c r="J89" i="24"/>
  <c r="J88" i="24"/>
  <c r="J93" i="24"/>
  <c r="J71" i="24"/>
  <c r="I95" i="24"/>
  <c r="U95" i="24"/>
  <c r="G107" i="24" s="1"/>
  <c r="H107" i="24" s="1"/>
  <c r="Y95" i="24"/>
  <c r="G113" i="24" s="1"/>
  <c r="N113" i="24" s="1"/>
  <c r="M95" i="24"/>
  <c r="E102" i="24" s="1"/>
  <c r="K102" i="24" s="1"/>
  <c r="N112" i="24"/>
  <c r="H112" i="24"/>
  <c r="H111" i="24"/>
  <c r="F42" i="19"/>
  <c r="F43" i="21"/>
  <c r="O8" i="24" l="1"/>
  <c r="O95" i="24" s="1"/>
  <c r="F102" i="24" s="1"/>
  <c r="P95" i="24"/>
  <c r="F110" i="24" s="1"/>
  <c r="H110" i="24" s="1"/>
  <c r="Q95" i="24"/>
  <c r="G101" i="24" s="1"/>
  <c r="H101" i="24" s="1"/>
  <c r="T95" i="24"/>
  <c r="G105" i="24" s="1"/>
  <c r="H105" i="24" s="1"/>
  <c r="R95" i="24"/>
  <c r="G102" i="24" s="1"/>
  <c r="S95" i="24"/>
  <c r="G104" i="24" s="1"/>
  <c r="H104" i="24" s="1"/>
  <c r="N105" i="24"/>
  <c r="H113" i="24"/>
  <c r="E114" i="24"/>
  <c r="F114" i="24"/>
  <c r="M102" i="24"/>
  <c r="L25" i="22"/>
  <c r="G114" i="24" l="1"/>
  <c r="H102" i="24"/>
  <c r="H114" i="24" s="1"/>
  <c r="F35" i="21"/>
  <c r="F116" i="19" l="1"/>
  <c r="F98" i="19"/>
  <c r="F130" i="19"/>
  <c r="F125" i="19"/>
  <c r="F123" i="19"/>
  <c r="F122" i="19"/>
  <c r="F121" i="19"/>
  <c r="F73" i="19"/>
  <c r="F69" i="19"/>
  <c r="F65" i="19"/>
  <c r="F59" i="19"/>
  <c r="F34" i="19"/>
  <c r="F5" i="19"/>
  <c r="F26" i="19"/>
  <c r="F15" i="19"/>
  <c r="J95" i="24" l="1"/>
  <c r="G95" i="24"/>
  <c r="F60" i="19"/>
  <c r="F76" i="19" s="1"/>
  <c r="F94" i="19" s="1"/>
  <c r="Q12" i="1"/>
  <c r="Q9" i="1"/>
  <c r="P16" i="1"/>
  <c r="P9" i="1"/>
  <c r="O12" i="1"/>
  <c r="P12" i="1" s="1"/>
  <c r="O19" i="1" l="1"/>
  <c r="G7" i="1"/>
  <c r="L6" i="1"/>
  <c r="M6" i="1"/>
  <c r="N6" i="1"/>
  <c r="L8" i="1"/>
  <c r="M8" i="1"/>
  <c r="N8" i="1"/>
  <c r="L9" i="1"/>
  <c r="M9" i="1"/>
  <c r="L10" i="1"/>
  <c r="M10" i="1"/>
  <c r="L11" i="1"/>
  <c r="M11" i="1"/>
  <c r="N11" i="1"/>
  <c r="L12" i="1"/>
  <c r="M12" i="1"/>
  <c r="L13" i="1"/>
  <c r="M13" i="1"/>
  <c r="N13" i="1"/>
  <c r="L14" i="1"/>
  <c r="M14" i="1"/>
  <c r="N14" i="1"/>
  <c r="L15" i="1"/>
  <c r="M15" i="1"/>
  <c r="L16" i="1"/>
  <c r="M16" i="1"/>
  <c r="L17" i="1"/>
  <c r="M17" i="1"/>
  <c r="N17" i="1"/>
  <c r="L18" i="1"/>
  <c r="M18" i="1"/>
  <c r="N5" i="1"/>
  <c r="M5" i="1"/>
  <c r="L5" i="1"/>
  <c r="F7" i="1"/>
  <c r="D7" i="1"/>
  <c r="J7" i="1"/>
  <c r="D19" i="1" l="1"/>
  <c r="F19" i="1"/>
  <c r="G19" i="1"/>
  <c r="I19" i="1"/>
  <c r="P19" i="1" s="1"/>
  <c r="J19" i="1"/>
  <c r="C19" i="1"/>
  <c r="J3" i="14" l="1"/>
  <c r="W114" i="19" l="1"/>
  <c r="W115" i="19"/>
  <c r="W104" i="19"/>
  <c r="W105" i="19"/>
  <c r="W106" i="19"/>
  <c r="W107" i="19"/>
  <c r="W108" i="19"/>
  <c r="W109" i="19"/>
  <c r="W110" i="19"/>
  <c r="W111" i="19"/>
  <c r="W112" i="19"/>
  <c r="W113" i="19"/>
  <c r="W103" i="19"/>
  <c r="S67" i="19"/>
  <c r="S68" i="19"/>
  <c r="S66" i="19"/>
  <c r="F70" i="21"/>
  <c r="H7" i="20" l="1"/>
  <c r="N102" i="24" s="1"/>
  <c r="K115" i="24" s="1"/>
  <c r="Q118" i="19" l="1"/>
  <c r="N103" i="21" l="1"/>
  <c r="O103" i="21"/>
  <c r="M103" i="21"/>
  <c r="Q122" i="19" l="1"/>
  <c r="Q124" i="19"/>
  <c r="Q123" i="19"/>
  <c r="F120" i="19"/>
  <c r="G19" i="23"/>
  <c r="E19" i="23"/>
  <c r="C19" i="23"/>
  <c r="I19" i="23" s="1"/>
  <c r="I18" i="23"/>
  <c r="J17" i="23"/>
  <c r="I17" i="23"/>
  <c r="J16" i="23"/>
  <c r="I16" i="23"/>
  <c r="I15" i="23"/>
  <c r="J14" i="23"/>
  <c r="I14" i="23"/>
  <c r="J13" i="23"/>
  <c r="I13" i="23"/>
  <c r="I12" i="23"/>
  <c r="J11" i="23"/>
  <c r="I11" i="23"/>
  <c r="I10" i="23"/>
  <c r="I9" i="23"/>
  <c r="J8" i="23"/>
  <c r="I8" i="23"/>
  <c r="I7" i="23"/>
  <c r="I6" i="23"/>
  <c r="I5" i="23"/>
  <c r="H5" i="23"/>
  <c r="H97" i="19"/>
  <c r="H96" i="19"/>
  <c r="J5" i="23" l="1"/>
  <c r="P61" i="19"/>
  <c r="P62" i="19"/>
  <c r="G82" i="22" l="1"/>
  <c r="I82" i="22" s="1"/>
  <c r="G81" i="22"/>
  <c r="I81" i="22" s="1"/>
  <c r="G80" i="22"/>
  <c r="I80" i="22" s="1"/>
  <c r="G79" i="22"/>
  <c r="F79" i="22"/>
  <c r="E79" i="22"/>
  <c r="I79" i="22" s="1"/>
  <c r="I78" i="22"/>
  <c r="I77" i="22"/>
  <c r="G76" i="22"/>
  <c r="I76" i="22" s="1"/>
  <c r="I75" i="22"/>
  <c r="G74" i="22"/>
  <c r="I74" i="22" s="1"/>
  <c r="G73" i="22"/>
  <c r="I73" i="22" s="1"/>
  <c r="I72" i="22"/>
  <c r="G71" i="22"/>
  <c r="F71" i="22"/>
  <c r="F83" i="22" s="1"/>
  <c r="E71" i="22"/>
  <c r="I71" i="22" s="1"/>
  <c r="G70" i="22"/>
  <c r="G83" i="22" s="1"/>
  <c r="I69" i="22"/>
  <c r="L65" i="22"/>
  <c r="L63" i="22"/>
  <c r="F62" i="22"/>
  <c r="L62" i="22" s="1"/>
  <c r="L61" i="22"/>
  <c r="L60" i="22"/>
  <c r="L59" i="22"/>
  <c r="L58" i="22"/>
  <c r="F57" i="22"/>
  <c r="L57" i="22" s="1"/>
  <c r="F56" i="22"/>
  <c r="L56" i="22" s="1"/>
  <c r="F55" i="22"/>
  <c r="L55" i="22" s="1"/>
  <c r="L54" i="22"/>
  <c r="L53" i="22"/>
  <c r="L52" i="22"/>
  <c r="L51" i="22"/>
  <c r="F49" i="22"/>
  <c r="I48" i="22"/>
  <c r="L48" i="22" s="1"/>
  <c r="I47" i="22"/>
  <c r="L47" i="22" s="1"/>
  <c r="F46" i="22"/>
  <c r="L46" i="22" s="1"/>
  <c r="L45" i="22"/>
  <c r="L44" i="22"/>
  <c r="L43" i="22"/>
  <c r="L41" i="22"/>
  <c r="L40" i="22"/>
  <c r="L39" i="22"/>
  <c r="L38" i="22"/>
  <c r="L37" i="22"/>
  <c r="L36" i="22"/>
  <c r="L35" i="22"/>
  <c r="L34" i="22"/>
  <c r="L33" i="22"/>
  <c r="L32" i="22"/>
  <c r="F31" i="22"/>
  <c r="L31" i="22" s="1"/>
  <c r="L30" i="22"/>
  <c r="E30" i="22"/>
  <c r="L29" i="22"/>
  <c r="E29" i="22"/>
  <c r="L28" i="22"/>
  <c r="E28" i="22"/>
  <c r="L27" i="22"/>
  <c r="E27" i="22"/>
  <c r="L26" i="22"/>
  <c r="L21" i="22"/>
  <c r="L20" i="22"/>
  <c r="L18" i="22"/>
  <c r="L8" i="22"/>
  <c r="L3" i="22"/>
  <c r="K4" i="21"/>
  <c r="K6" i="21"/>
  <c r="K7" i="21"/>
  <c r="K8" i="21"/>
  <c r="K9" i="21"/>
  <c r="K17" i="21"/>
  <c r="K18" i="21"/>
  <c r="K19" i="21"/>
  <c r="K20" i="21"/>
  <c r="K21" i="21"/>
  <c r="K22" i="21"/>
  <c r="K3" i="21"/>
  <c r="K24" i="21"/>
  <c r="K28" i="21"/>
  <c r="K29" i="21"/>
  <c r="K31" i="21"/>
  <c r="K32" i="21"/>
  <c r="K34" i="21"/>
  <c r="K36" i="21"/>
  <c r="K37" i="21"/>
  <c r="K38" i="21"/>
  <c r="K39" i="21"/>
  <c r="K44" i="21"/>
  <c r="K45" i="21"/>
  <c r="K46" i="21"/>
  <c r="K47" i="21"/>
  <c r="K48" i="21"/>
  <c r="K49" i="21"/>
  <c r="K50" i="21"/>
  <c r="K51" i="21"/>
  <c r="K52" i="21"/>
  <c r="K53" i="21"/>
  <c r="K54" i="21"/>
  <c r="K55" i="21"/>
  <c r="K56" i="21"/>
  <c r="K57" i="21"/>
  <c r="K62" i="21"/>
  <c r="K63" i="21"/>
  <c r="K71" i="21"/>
  <c r="K75" i="21"/>
  <c r="K76" i="21"/>
  <c r="K78" i="21"/>
  <c r="K79" i="21"/>
  <c r="K80" i="21"/>
  <c r="K81" i="21"/>
  <c r="K82" i="21"/>
  <c r="K83" i="21"/>
  <c r="K85" i="21"/>
  <c r="K86" i="21"/>
  <c r="K87" i="21"/>
  <c r="K88" i="21"/>
  <c r="K89" i="21"/>
  <c r="K90" i="21"/>
  <c r="K91" i="21"/>
  <c r="K92" i="21"/>
  <c r="K93" i="21"/>
  <c r="K94" i="21"/>
  <c r="K96" i="21"/>
  <c r="K97" i="21"/>
  <c r="K98" i="21"/>
  <c r="K104" i="21"/>
  <c r="K105" i="21"/>
  <c r="K106" i="21"/>
  <c r="K107" i="21"/>
  <c r="K111" i="21"/>
  <c r="K112" i="21"/>
  <c r="K113" i="21"/>
  <c r="K114" i="21"/>
  <c r="K116" i="21"/>
  <c r="K118" i="21"/>
  <c r="K23" i="21"/>
  <c r="E31" i="22" l="1"/>
  <c r="F50" i="22"/>
  <c r="L50" i="22" s="1"/>
  <c r="I42" i="22"/>
  <c r="J71" i="22"/>
  <c r="E83" i="22"/>
  <c r="L49" i="22"/>
  <c r="I70" i="22"/>
  <c r="I83" i="22" s="1"/>
  <c r="K55" i="19"/>
  <c r="T97" i="19" l="1"/>
  <c r="F64" i="22" l="1"/>
  <c r="L64" i="22" s="1"/>
  <c r="L42" i="22"/>
  <c r="G135" i="21"/>
  <c r="H135" i="21" s="1"/>
  <c r="G134" i="21"/>
  <c r="H131" i="21"/>
  <c r="H130" i="21"/>
  <c r="H128" i="21"/>
  <c r="H125" i="21"/>
  <c r="H122" i="21"/>
  <c r="G133" i="21"/>
  <c r="G132" i="21"/>
  <c r="G123" i="21"/>
  <c r="F132" i="21"/>
  <c r="E132" i="21"/>
  <c r="H132" i="21" s="1"/>
  <c r="E124" i="21"/>
  <c r="F115" i="21"/>
  <c r="F110" i="21"/>
  <c r="K110" i="21" s="1"/>
  <c r="F109" i="21"/>
  <c r="F108" i="21"/>
  <c r="F102" i="21"/>
  <c r="H101" i="21"/>
  <c r="K101" i="21" s="1"/>
  <c r="H100" i="21"/>
  <c r="K100" i="21" s="1"/>
  <c r="F99" i="21"/>
  <c r="K99" i="21" s="1"/>
  <c r="G129" i="21"/>
  <c r="F84" i="21"/>
  <c r="K84" i="21" s="1"/>
  <c r="E83" i="21"/>
  <c r="E82" i="21"/>
  <c r="E81" i="21"/>
  <c r="E80" i="21"/>
  <c r="F66" i="21"/>
  <c r="K66" i="21" s="1"/>
  <c r="F60" i="21"/>
  <c r="K60" i="21" s="1"/>
  <c r="K43" i="21"/>
  <c r="K35" i="21"/>
  <c r="H30" i="21"/>
  <c r="F124" i="21"/>
  <c r="F27" i="21"/>
  <c r="K27" i="21" s="1"/>
  <c r="F16" i="21"/>
  <c r="K16" i="21" s="1"/>
  <c r="F5" i="21"/>
  <c r="K5" i="21" s="1"/>
  <c r="M36" i="19"/>
  <c r="M35" i="19"/>
  <c r="F103" i="21" l="1"/>
  <c r="K103" i="21" s="1"/>
  <c r="K102" i="21"/>
  <c r="G127" i="21"/>
  <c r="K108" i="21"/>
  <c r="G126" i="21"/>
  <c r="H126" i="21" s="1"/>
  <c r="K109" i="21"/>
  <c r="G124" i="21"/>
  <c r="K115" i="21"/>
  <c r="K30" i="21"/>
  <c r="F61" i="21"/>
  <c r="F77" i="21" s="1"/>
  <c r="F94" i="21" s="1"/>
  <c r="E84" i="21"/>
  <c r="H127" i="21"/>
  <c r="F136" i="21"/>
  <c r="H133" i="21"/>
  <c r="I124" i="21"/>
  <c r="H124" i="21"/>
  <c r="E136" i="21"/>
  <c r="H123" i="21"/>
  <c r="G136" i="21"/>
  <c r="H129" i="21"/>
  <c r="H134" i="21"/>
  <c r="K61" i="21" l="1"/>
  <c r="H136" i="21"/>
  <c r="F83" i="19"/>
  <c r="H100" i="19"/>
  <c r="H99" i="19"/>
  <c r="M140" i="19" s="1"/>
  <c r="M141" i="19" s="1"/>
  <c r="Q70" i="19"/>
  <c r="I5" i="9"/>
  <c r="H6" i="9"/>
  <c r="H7" i="9" s="1"/>
  <c r="H8" i="9" s="1"/>
  <c r="G6" i="9"/>
  <c r="G7" i="9" s="1"/>
  <c r="K77" i="21" l="1"/>
  <c r="I7" i="9"/>
  <c r="G8" i="9"/>
  <c r="F117" i="21" l="1"/>
  <c r="K117" i="21" s="1"/>
  <c r="K4" i="19"/>
  <c r="Q74" i="19" l="1"/>
  <c r="M7" i="19"/>
  <c r="M8" i="19"/>
  <c r="M6" i="19"/>
  <c r="K51" i="19"/>
  <c r="K50" i="19"/>
  <c r="M28" i="19"/>
  <c r="M27" i="19"/>
  <c r="H29" i="19"/>
  <c r="H94" i="19" l="1"/>
  <c r="M29" i="19"/>
  <c r="L143" i="19"/>
  <c r="G19" i="20"/>
  <c r="F19" i="20"/>
  <c r="E19" i="20"/>
  <c r="D19" i="20"/>
  <c r="C19" i="20"/>
  <c r="I19" i="20" s="1"/>
  <c r="J18" i="20"/>
  <c r="I18" i="20"/>
  <c r="J17" i="20"/>
  <c r="I17" i="20"/>
  <c r="J16" i="20"/>
  <c r="I16" i="20"/>
  <c r="I15" i="20"/>
  <c r="H15" i="20"/>
  <c r="J14" i="20"/>
  <c r="I14" i="20"/>
  <c r="J13" i="20"/>
  <c r="I13" i="20"/>
  <c r="I12" i="20"/>
  <c r="H12" i="20"/>
  <c r="J11" i="20"/>
  <c r="I11" i="20"/>
  <c r="J10" i="20"/>
  <c r="I10" i="20"/>
  <c r="I9" i="20"/>
  <c r="H9" i="20"/>
  <c r="J8" i="20"/>
  <c r="I8" i="20"/>
  <c r="J7" i="20"/>
  <c r="I7" i="20"/>
  <c r="I6" i="20"/>
  <c r="H6" i="20"/>
  <c r="J6" i="20" s="1"/>
  <c r="I5" i="20"/>
  <c r="H5" i="20"/>
  <c r="H19" i="20" s="1"/>
  <c r="K44" i="19"/>
  <c r="K45" i="19"/>
  <c r="K46" i="19"/>
  <c r="K47" i="19"/>
  <c r="K48" i="19"/>
  <c r="K49" i="19"/>
  <c r="K43" i="19"/>
  <c r="R120" i="19"/>
  <c r="Q125" i="19"/>
  <c r="Q121" i="19"/>
  <c r="P130" i="19"/>
  <c r="Q117" i="19"/>
  <c r="H146" i="19"/>
  <c r="H145" i="19"/>
  <c r="H143" i="19"/>
  <c r="H140" i="19"/>
  <c r="H137" i="19"/>
  <c r="J9" i="20" l="1"/>
  <c r="N104" i="24"/>
  <c r="J12" i="20"/>
  <c r="N107" i="24"/>
  <c r="J15" i="20"/>
  <c r="N110" i="24"/>
  <c r="J19" i="20"/>
  <c r="J5" i="20"/>
  <c r="N115" i="24" l="1"/>
  <c r="F101" i="19"/>
  <c r="F102" i="19" s="1"/>
  <c r="F132" i="19" s="1"/>
  <c r="Q100" i="19"/>
  <c r="P99" i="19"/>
  <c r="S96" i="19"/>
  <c r="K95" i="19"/>
  <c r="N50" i="14" l="1"/>
  <c r="G30" i="15" l="1"/>
  <c r="G25" i="15"/>
  <c r="G20" i="15"/>
  <c r="G13" i="15"/>
  <c r="G6" i="15"/>
  <c r="Q132" i="19" l="1"/>
  <c r="G141" i="19" s="1"/>
  <c r="K9" i="1" s="1"/>
  <c r="N9" i="1" s="1"/>
  <c r="K18" i="19"/>
  <c r="K17" i="19"/>
  <c r="K16" i="19"/>
  <c r="K132" i="19" s="1"/>
  <c r="W132" i="19"/>
  <c r="V132" i="19"/>
  <c r="G149" i="19" s="1"/>
  <c r="U132" i="19"/>
  <c r="G148" i="19" s="1"/>
  <c r="T132" i="19"/>
  <c r="G147" i="19" s="1"/>
  <c r="K15" i="1" s="1"/>
  <c r="N15" i="1" s="1"/>
  <c r="S132" i="19"/>
  <c r="G144" i="19" s="1"/>
  <c r="K12" i="1" s="1"/>
  <c r="N12" i="1" s="1"/>
  <c r="R132" i="19"/>
  <c r="G142" i="19" s="1"/>
  <c r="P132" i="19"/>
  <c r="G139" i="19" s="1"/>
  <c r="O132" i="19"/>
  <c r="G138" i="19" s="1"/>
  <c r="N132" i="19"/>
  <c r="F147" i="19" s="1"/>
  <c r="L132" i="19"/>
  <c r="E147" i="19" s="1"/>
  <c r="E82" i="19"/>
  <c r="E81" i="19"/>
  <c r="E80" i="19"/>
  <c r="E79" i="19"/>
  <c r="J4" i="14"/>
  <c r="J5" i="14"/>
  <c r="J6" i="14"/>
  <c r="J7" i="14"/>
  <c r="J8" i="14"/>
  <c r="J9" i="14"/>
  <c r="J10" i="14"/>
  <c r="J11" i="14"/>
  <c r="J12" i="14"/>
  <c r="J13" i="14"/>
  <c r="J14" i="14"/>
  <c r="J15" i="14"/>
  <c r="J35" i="14"/>
  <c r="J34" i="14"/>
  <c r="J33" i="14"/>
  <c r="J32" i="14"/>
  <c r="J31" i="14"/>
  <c r="J30" i="14"/>
  <c r="J29" i="14"/>
  <c r="J27" i="14"/>
  <c r="J26" i="14"/>
  <c r="J25" i="14"/>
  <c r="J24" i="14"/>
  <c r="J22" i="14"/>
  <c r="J21" i="14"/>
  <c r="J20" i="14"/>
  <c r="J19" i="14"/>
  <c r="J18" i="14"/>
  <c r="E46" i="15"/>
  <c r="E47" i="15"/>
  <c r="E48" i="15"/>
  <c r="E45" i="15"/>
  <c r="M78" i="15"/>
  <c r="N78" i="15"/>
  <c r="O78" i="15"/>
  <c r="P78" i="15"/>
  <c r="Q78" i="15"/>
  <c r="R78" i="15"/>
  <c r="S78" i="15"/>
  <c r="T78" i="15"/>
  <c r="U78" i="15"/>
  <c r="V78" i="15"/>
  <c r="W78" i="15"/>
  <c r="X78" i="15"/>
  <c r="L78" i="15"/>
  <c r="L139" i="19" l="1"/>
  <c r="K7" i="1"/>
  <c r="N7" i="1" s="1"/>
  <c r="H10" i="23"/>
  <c r="J10" i="23" s="1"/>
  <c r="K10" i="1"/>
  <c r="N10" i="1" s="1"/>
  <c r="G150" i="19"/>
  <c r="K18" i="1" s="1"/>
  <c r="Q18" i="1" s="1"/>
  <c r="H18" i="23"/>
  <c r="J18" i="23" s="1"/>
  <c r="E83" i="19"/>
  <c r="L147" i="19"/>
  <c r="H15" i="23"/>
  <c r="J15" i="23" s="1"/>
  <c r="H138" i="19"/>
  <c r="H6" i="23"/>
  <c r="J6" i="23" s="1"/>
  <c r="L141" i="19"/>
  <c r="H9" i="23"/>
  <c r="J9" i="23" s="1"/>
  <c r="H7" i="23"/>
  <c r="H149" i="19"/>
  <c r="L149" i="19"/>
  <c r="H148" i="19"/>
  <c r="K16" i="1" s="1"/>
  <c r="N16" i="1" s="1"/>
  <c r="L148" i="19"/>
  <c r="H150" i="19"/>
  <c r="L150" i="19"/>
  <c r="H144" i="19"/>
  <c r="H12" i="23" s="1"/>
  <c r="J12" i="23" s="1"/>
  <c r="L144" i="19"/>
  <c r="H142" i="19"/>
  <c r="L142" i="19"/>
  <c r="H147" i="19"/>
  <c r="H141" i="19"/>
  <c r="M132" i="19"/>
  <c r="F139" i="19" s="1"/>
  <c r="E139" i="19"/>
  <c r="E7" i="1" s="1"/>
  <c r="E49" i="15"/>
  <c r="G95" i="14"/>
  <c r="G151" i="19" l="1"/>
  <c r="N18" i="1"/>
  <c r="K19" i="1"/>
  <c r="N19" i="1" s="1"/>
  <c r="L7" i="1"/>
  <c r="E19" i="1"/>
  <c r="L19" i="1" s="1"/>
  <c r="F7" i="23"/>
  <c r="F19" i="23" s="1"/>
  <c r="H7" i="1"/>
  <c r="L152" i="19"/>
  <c r="I139" i="19"/>
  <c r="D7" i="23"/>
  <c r="H19" i="23"/>
  <c r="F151" i="19"/>
  <c r="K139" i="19"/>
  <c r="H139" i="19"/>
  <c r="H151" i="19" s="1"/>
  <c r="E151" i="19"/>
  <c r="F78" i="14"/>
  <c r="D19" i="23" l="1"/>
  <c r="J19" i="23" s="1"/>
  <c r="J7" i="23"/>
  <c r="M7" i="1"/>
  <c r="H19" i="1"/>
  <c r="M19" i="1" s="1"/>
  <c r="I152" i="19"/>
  <c r="I38" i="15"/>
  <c r="I49" i="15"/>
  <c r="G49" i="15"/>
  <c r="G38" i="15"/>
  <c r="I3" i="15"/>
  <c r="H98" i="14"/>
  <c r="I97" i="14"/>
  <c r="F97" i="14"/>
  <c r="H95" i="14"/>
  <c r="I95" i="14"/>
  <c r="E94" i="14"/>
  <c r="D94" i="14"/>
  <c r="G93" i="14"/>
  <c r="I93" i="14" s="1"/>
  <c r="F93" i="14"/>
  <c r="F92" i="14"/>
  <c r="D92" i="14"/>
  <c r="E91" i="14"/>
  <c r="D91" i="14"/>
  <c r="H90" i="14"/>
  <c r="G90" i="14"/>
  <c r="H84" i="14"/>
  <c r="G98" i="14" s="1"/>
  <c r="H83" i="14"/>
  <c r="H81" i="14"/>
  <c r="H78" i="14"/>
  <c r="F75" i="14"/>
  <c r="H75" i="14" s="1"/>
  <c r="N74" i="14"/>
  <c r="L74" i="14"/>
  <c r="M74" i="14" s="1"/>
  <c r="H72" i="14"/>
  <c r="F72" i="14"/>
  <c r="F96" i="14" s="1"/>
  <c r="N70" i="14"/>
  <c r="L70" i="14"/>
  <c r="N69" i="14"/>
  <c r="L69" i="14"/>
  <c r="L67" i="14"/>
  <c r="F67" i="14"/>
  <c r="L66" i="14"/>
  <c r="M66" i="14" s="1"/>
  <c r="H66" i="14"/>
  <c r="H67" i="14" s="1"/>
  <c r="K64" i="14"/>
  <c r="H64" i="14"/>
  <c r="F64" i="14"/>
  <c r="L58" i="14"/>
  <c r="K51" i="14"/>
  <c r="H51" i="14"/>
  <c r="F51" i="14"/>
  <c r="K43" i="14"/>
  <c r="H43" i="14"/>
  <c r="F43" i="14"/>
  <c r="N41" i="14"/>
  <c r="L41" i="14"/>
  <c r="M41" i="14" s="1"/>
  <c r="N40" i="14"/>
  <c r="N39" i="14"/>
  <c r="N38" i="14"/>
  <c r="N37" i="14"/>
  <c r="K36" i="14"/>
  <c r="H36" i="14"/>
  <c r="F36" i="14"/>
  <c r="L35" i="14"/>
  <c r="M35" i="14" s="1"/>
  <c r="N29" i="14"/>
  <c r="K28" i="14"/>
  <c r="H28" i="14"/>
  <c r="F28" i="14"/>
  <c r="N27" i="14"/>
  <c r="L27" i="14"/>
  <c r="M27" i="14" s="1"/>
  <c r="N26" i="14"/>
  <c r="P25" i="14"/>
  <c r="P26" i="14" s="1"/>
  <c r="N25" i="14"/>
  <c r="N24" i="14"/>
  <c r="K23" i="14"/>
  <c r="H23" i="14"/>
  <c r="F23" i="14"/>
  <c r="N19" i="14"/>
  <c r="L19" i="14"/>
  <c r="M19" i="14" s="1"/>
  <c r="N18" i="14"/>
  <c r="K16" i="14"/>
  <c r="F16" i="14"/>
  <c r="N15" i="14"/>
  <c r="L15" i="14"/>
  <c r="M15" i="14" s="1"/>
  <c r="L14" i="14"/>
  <c r="O13" i="14"/>
  <c r="L13" i="14"/>
  <c r="L12" i="14"/>
  <c r="O11" i="14"/>
  <c r="L11" i="14"/>
  <c r="L10" i="14"/>
  <c r="O9" i="14"/>
  <c r="L9" i="14"/>
  <c r="L8" i="14"/>
  <c r="N7" i="14"/>
  <c r="H7" i="14"/>
  <c r="L7" i="14" s="1"/>
  <c r="N6" i="14"/>
  <c r="H6" i="14"/>
  <c r="L6" i="14" s="1"/>
  <c r="N5" i="14"/>
  <c r="H5" i="14"/>
  <c r="L5" i="14" s="1"/>
  <c r="N4" i="14"/>
  <c r="H4" i="14"/>
  <c r="L4" i="14" s="1"/>
  <c r="N3" i="14"/>
  <c r="H3" i="14"/>
  <c r="G34" i="12"/>
  <c r="F34" i="12"/>
  <c r="G26" i="12"/>
  <c r="F26" i="12"/>
  <c r="G19" i="12"/>
  <c r="F19" i="12"/>
  <c r="G11" i="12"/>
  <c r="F11" i="12"/>
  <c r="G7" i="12"/>
  <c r="F7" i="12"/>
  <c r="G7" i="11"/>
  <c r="F7" i="11"/>
  <c r="F35" i="11"/>
  <c r="F27" i="11"/>
  <c r="F20" i="11"/>
  <c r="F12" i="11"/>
  <c r="G35" i="11"/>
  <c r="G27" i="11"/>
  <c r="G20" i="11"/>
  <c r="G12" i="11"/>
  <c r="K97" i="14" l="1"/>
  <c r="G36" i="11"/>
  <c r="L23" i="14"/>
  <c r="L64" i="14"/>
  <c r="F36" i="11"/>
  <c r="G96" i="14"/>
  <c r="I96" i="14" s="1"/>
  <c r="H16" i="14"/>
  <c r="G94" i="14" s="1"/>
  <c r="F94" i="14"/>
  <c r="M70" i="14"/>
  <c r="G91" i="14"/>
  <c r="I91" i="14" s="1"/>
  <c r="G92" i="14"/>
  <c r="I92" i="14" s="1"/>
  <c r="K93" i="14"/>
  <c r="O14" i="14"/>
  <c r="K95" i="14"/>
  <c r="K65" i="14"/>
  <c r="K88" i="14" s="1"/>
  <c r="F91" i="14"/>
  <c r="H91" i="14" s="1"/>
  <c r="K58" i="14"/>
  <c r="K96" i="14"/>
  <c r="H96" i="14"/>
  <c r="K98" i="14"/>
  <c r="I98" i="14"/>
  <c r="F65" i="14"/>
  <c r="H93" i="14"/>
  <c r="H97" i="14"/>
  <c r="H92" i="14"/>
  <c r="L3" i="14"/>
  <c r="K90" i="14"/>
  <c r="I90" i="14"/>
  <c r="G35" i="12"/>
  <c r="F35" i="12"/>
  <c r="K94" i="14" l="1"/>
  <c r="K92" i="14"/>
  <c r="L16" i="14"/>
  <c r="H94" i="14"/>
  <c r="K91" i="14"/>
  <c r="H65" i="14"/>
  <c r="L65" i="14" s="1"/>
  <c r="I94" i="14"/>
  <c r="G99" i="14"/>
  <c r="F88" i="14"/>
  <c r="G41" i="8" l="1"/>
  <c r="F41" i="8"/>
  <c r="G58" i="8" l="1"/>
  <c r="F58" i="8"/>
  <c r="G55" i="8"/>
  <c r="F55" i="8"/>
  <c r="G50" i="8"/>
  <c r="F50" i="8"/>
  <c r="G48" i="8"/>
  <c r="F48" i="8"/>
  <c r="G37" i="8"/>
  <c r="F37" i="8"/>
  <c r="G35" i="8"/>
  <c r="F35" i="8"/>
  <c r="G29" i="8"/>
  <c r="F29" i="8"/>
  <c r="G21" i="8"/>
  <c r="F21" i="8"/>
  <c r="G16" i="8"/>
  <c r="F16" i="8"/>
  <c r="F12" i="8"/>
  <c r="G12" i="8"/>
  <c r="L57" i="8"/>
  <c r="J57" i="8"/>
  <c r="K57" i="8" s="1"/>
  <c r="L53" i="8"/>
  <c r="J53" i="8"/>
  <c r="L52" i="8"/>
  <c r="J52" i="8"/>
  <c r="J50" i="8"/>
  <c r="J49" i="8"/>
  <c r="K49" i="8" s="1"/>
  <c r="J44" i="8"/>
  <c r="K44" i="8" s="1"/>
  <c r="L34" i="8"/>
  <c r="J34" i="8"/>
  <c r="K34" i="8" s="1"/>
  <c r="L33" i="8"/>
  <c r="L32" i="8"/>
  <c r="L31" i="8"/>
  <c r="L30" i="8"/>
  <c r="J28" i="8"/>
  <c r="K28" i="8" s="1"/>
  <c r="L22" i="8"/>
  <c r="L20" i="8"/>
  <c r="J20" i="8"/>
  <c r="K20" i="8" s="1"/>
  <c r="L19" i="8"/>
  <c r="L18" i="8"/>
  <c r="L17" i="8"/>
  <c r="L15" i="8"/>
  <c r="J15" i="8"/>
  <c r="K15" i="8" s="1"/>
  <c r="L14" i="8"/>
  <c r="L11" i="8"/>
  <c r="J11" i="8"/>
  <c r="K11" i="8" s="1"/>
  <c r="L10" i="8"/>
  <c r="L9" i="8"/>
  <c r="L8" i="8"/>
  <c r="L7" i="8"/>
  <c r="L6" i="8"/>
  <c r="L5" i="8"/>
  <c r="L4" i="8"/>
  <c r="L3" i="8"/>
  <c r="F42" i="8" l="1"/>
  <c r="F59" i="8" s="1"/>
  <c r="G42" i="8"/>
  <c r="G59" i="8" s="1"/>
  <c r="K53" i="8"/>
  <c r="K59" i="8"/>
  <c r="H94" i="21" l="1"/>
  <c r="K95"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E5" authorId="0" shapeId="0" xr:uid="{135C2334-A55C-4C4F-831A-46429C128962}">
      <text>
        <r>
          <rPr>
            <b/>
            <sz val="9"/>
            <color indexed="81"/>
            <rFont val="Tahoma"/>
          </rPr>
          <t>HP:</t>
        </r>
        <r>
          <rPr>
            <sz val="9"/>
            <color indexed="81"/>
            <rFont val="Tahoma"/>
          </rPr>
          <t xml:space="preserve"> report copy with Harshal</t>
        </r>
      </text>
    </comment>
    <comment ref="F49" authorId="0" shapeId="0" xr:uid="{0B560C6E-D678-44CD-B2E9-B6DA47749836}">
      <text>
        <r>
          <rPr>
            <b/>
            <sz val="9"/>
            <color indexed="81"/>
            <rFont val="Tahoma"/>
            <family val="2"/>
          </rPr>
          <t>HP:</t>
        </r>
        <r>
          <rPr>
            <sz val="9"/>
            <color indexed="81"/>
            <rFont val="Tahoma"/>
            <family val="2"/>
          </rPr>
          <t xml:space="preserve">
Balance to pay 3.5 lakh for tabs cover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F10" authorId="0" shapeId="0" xr:uid="{E35D0D03-7E48-4845-BC8A-A74103A519E2}">
      <text>
        <r>
          <rPr>
            <b/>
            <sz val="9"/>
            <color indexed="81"/>
            <rFont val="Tahoma"/>
          </rPr>
          <t>HP:</t>
        </r>
        <r>
          <rPr>
            <sz val="9"/>
            <color indexed="81"/>
            <rFont val="Tahoma"/>
          </rPr>
          <t xml:space="preserve">
MPR and Invoice Xerox  May 26 Given to Konale for Scrutinee on 07.09.202</t>
        </r>
      </text>
    </comment>
    <comment ref="F11" authorId="0" shapeId="0" xr:uid="{385FE87C-ECEB-4ABE-8FAE-745F83827DFB}">
      <text>
        <r>
          <rPr>
            <b/>
            <sz val="9"/>
            <color indexed="81"/>
            <rFont val="Tahoma"/>
          </rPr>
          <t>HP:</t>
        </r>
        <r>
          <rPr>
            <sz val="9"/>
            <color indexed="81"/>
            <rFont val="Tahoma"/>
          </rPr>
          <t xml:space="preserve">
MPR and Invoice Xerox  June 26 Given to Konale for Scrutinee on 07.09.202</t>
        </r>
      </text>
    </comment>
    <comment ref="F12" authorId="0" shapeId="0" xr:uid="{8EC95A5A-3C42-45D8-B9AD-1A52C230F6CF}">
      <text>
        <r>
          <rPr>
            <b/>
            <sz val="9"/>
            <color indexed="81"/>
            <rFont val="Tahoma"/>
          </rPr>
          <t>HP:</t>
        </r>
        <r>
          <rPr>
            <sz val="9"/>
            <color indexed="81"/>
            <rFont val="Tahoma"/>
          </rPr>
          <t xml:space="preserve">
IR and Invoice Original   Given to Konale for Scrutinee on 07.09.202</t>
        </r>
      </text>
    </comment>
    <comment ref="F13" authorId="0" shapeId="0" xr:uid="{F59088A2-F64F-4021-A1DC-BB96495C1D93}">
      <text>
        <r>
          <rPr>
            <b/>
            <sz val="9"/>
            <color indexed="81"/>
            <rFont val="Tahoma"/>
          </rPr>
          <t>HP:</t>
        </r>
        <r>
          <rPr>
            <sz val="9"/>
            <color indexed="81"/>
            <rFont val="Tahoma"/>
          </rPr>
          <t xml:space="preserve">
 PCM and Invoice Original   Given to Konale for Scrutinee on 07.09.202</t>
        </r>
      </text>
    </comment>
    <comment ref="F14" authorId="0" shapeId="0" xr:uid="{E0FEE4F4-D799-435F-8EEA-BFB685037191}">
      <text>
        <r>
          <rPr>
            <b/>
            <sz val="9"/>
            <color indexed="81"/>
            <rFont val="Tahoma"/>
          </rPr>
          <t>HP:</t>
        </r>
        <r>
          <rPr>
            <sz val="9"/>
            <color indexed="81"/>
            <rFont val="Tahoma"/>
          </rPr>
          <t xml:space="preserve">
PD and Invoice Original   Given to Konale for Scrutinee on 07.09.202</t>
        </r>
      </text>
    </comment>
    <comment ref="F15" authorId="0" shapeId="0" xr:uid="{A0363887-1DD5-49C9-98AC-3259D75D68FA}">
      <text>
        <r>
          <rPr>
            <b/>
            <sz val="9"/>
            <color indexed="81"/>
            <rFont val="Tahoma"/>
          </rPr>
          <t>HP:</t>
        </r>
        <r>
          <rPr>
            <sz val="9"/>
            <color indexed="81"/>
            <rFont val="Tahoma"/>
          </rPr>
          <t xml:space="preserve">
MPR and Invoice Xerox  July 26 Given to Konale for Scrutinee on 07.09.202</t>
        </r>
      </text>
    </comment>
    <comment ref="F23" authorId="0" shapeId="0" xr:uid="{A8E252C1-2DCE-4DD2-A49E-0C0AAEEC378E}">
      <text>
        <r>
          <rPr>
            <b/>
            <sz val="9"/>
            <color indexed="81"/>
            <rFont val="Tahoma"/>
            <family val="2"/>
          </rPr>
          <t>HP:</t>
        </r>
        <r>
          <rPr>
            <sz val="9"/>
            <color indexed="81"/>
            <rFont val="Tahoma"/>
            <family val="2"/>
          </rPr>
          <t xml:space="preserve">
Twice bill submitted with Different amount need to clearify</t>
        </r>
      </text>
    </comment>
    <comment ref="G55" authorId="0" shapeId="0" xr:uid="{80BCFD87-3F51-4092-996F-AE2764BCA963}">
      <text>
        <r>
          <rPr>
            <b/>
            <sz val="9"/>
            <color indexed="81"/>
            <rFont val="Tahoma"/>
          </rPr>
          <t>HP:</t>
        </r>
        <r>
          <rPr>
            <sz val="9"/>
            <color indexed="81"/>
            <rFont val="Tahoma"/>
          </rPr>
          <t xml:space="preserve">
Div Commi Lettern Received </t>
        </r>
      </text>
    </comment>
    <comment ref="F58" authorId="0" shapeId="0" xr:uid="{D7805CCC-4CE5-45EC-B1D8-3F01E52104CA}">
      <text>
        <r>
          <rPr>
            <b/>
            <sz val="9"/>
            <color indexed="81"/>
            <rFont val="Tahoma"/>
          </rPr>
          <t>HP:</t>
        </r>
        <r>
          <rPr>
            <sz val="9"/>
            <color indexed="81"/>
            <rFont val="Tahoma"/>
          </rPr>
          <t xml:space="preserve">
MPR and Invoice Xerox Combined Jun July 26 Given to Konale for Scrutinee on 07.09.2026</t>
        </r>
      </text>
    </comment>
    <comment ref="F59" authorId="0" shapeId="0" xr:uid="{30296875-6253-4D70-9234-AF0CB9EDFF35}">
      <text>
        <r>
          <rPr>
            <b/>
            <sz val="9"/>
            <color indexed="81"/>
            <rFont val="Tahoma"/>
          </rPr>
          <t>HP:</t>
        </r>
        <r>
          <rPr>
            <sz val="9"/>
            <color indexed="81"/>
            <rFont val="Tahoma"/>
          </rPr>
          <t xml:space="preserve">
MPR and Invoice Xerox Combined Jun July 26 Given to Konale for Scrutinee on 07.09.2026</t>
        </r>
      </text>
    </comment>
    <comment ref="F102" authorId="0" shapeId="0" xr:uid="{6903BB09-D744-48A7-9C48-85AD7CEC4E2C}">
      <text>
        <r>
          <rPr>
            <b/>
            <sz val="9"/>
            <color indexed="81"/>
            <rFont val="Tahoma"/>
            <family val="2"/>
          </rPr>
          <t>HP:</t>
        </r>
        <r>
          <rPr>
            <sz val="9"/>
            <color indexed="81"/>
            <rFont val="Tahoma"/>
            <family val="2"/>
          </rPr>
          <t xml:space="preserve">
Balance to pay 3.5 lakh for tabs cover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F22" authorId="0" shapeId="0" xr:uid="{7D01926C-CE9E-4A52-AC07-ED2447831612}">
      <text>
        <r>
          <rPr>
            <b/>
            <sz val="9"/>
            <color indexed="81"/>
            <rFont val="Tahoma"/>
            <family val="2"/>
          </rPr>
          <t>HP:</t>
        </r>
        <r>
          <rPr>
            <sz val="9"/>
            <color indexed="81"/>
            <rFont val="Tahoma"/>
            <family val="2"/>
          </rPr>
          <t xml:space="preserve">
Revised bill has been submitted 
</t>
        </r>
      </text>
    </comment>
    <comment ref="F101" authorId="0" shapeId="0" xr:uid="{57002956-FC84-4B35-AA90-51CE101402D7}">
      <text>
        <r>
          <rPr>
            <b/>
            <sz val="9"/>
            <color indexed="81"/>
            <rFont val="Tahoma"/>
            <family val="2"/>
          </rPr>
          <t>HP:</t>
        </r>
        <r>
          <rPr>
            <sz val="9"/>
            <color indexed="81"/>
            <rFont val="Tahoma"/>
            <family val="2"/>
          </rPr>
          <t xml:space="preserve">
Balance to pay 3.5 lakh for tabs cover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H78" authorId="0" shapeId="0" xr:uid="{19B3F8A9-2059-4C28-B43B-DFBB370A0592}">
      <text>
        <r>
          <rPr>
            <b/>
            <sz val="9"/>
            <color indexed="81"/>
            <rFont val="Tahoma"/>
            <family val="2"/>
          </rPr>
          <t>HP:</t>
        </r>
        <r>
          <rPr>
            <sz val="9"/>
            <color indexed="81"/>
            <rFont val="Tahoma"/>
            <family val="2"/>
          </rPr>
          <t xml:space="preserve">
DES Advertise 3451A215 13 OE +26 ADV</t>
        </r>
      </text>
    </comment>
    <comment ref="H82" authorId="0" shapeId="0" xr:uid="{0C25642D-8544-4FDB-95D8-EE38CEAAB727}">
      <text>
        <r>
          <rPr>
            <b/>
            <sz val="9"/>
            <color indexed="81"/>
            <rFont val="Tahoma"/>
            <family val="2"/>
          </rPr>
          <t>HP:</t>
        </r>
        <r>
          <rPr>
            <sz val="9"/>
            <color indexed="81"/>
            <rFont val="Tahoma"/>
            <family val="2"/>
          </rPr>
          <t xml:space="preserve">
MITRA 3 High end Laptop</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<sst xmlns="http://schemas.openxmlformats.org/spreadsheetml/2006/main" count="2493" uniqueCount="601">
  <si>
    <t>Paid and Pending Bills as on 07/09/2026 – MahaSTRIDE Operation</t>
  </si>
  <si>
    <t xml:space="preserve"> 3451A215</t>
  </si>
  <si>
    <t xml:space="preserve"> 3451A224</t>
  </si>
  <si>
    <t xml:space="preserve"> 3451A233</t>
  </si>
  <si>
    <t>Sr.No.</t>
  </si>
  <si>
    <t xml:space="preserve">Particulars </t>
  </si>
  <si>
    <t xml:space="preserve">Invoice No. </t>
  </si>
  <si>
    <t xml:space="preserve">Date </t>
  </si>
  <si>
    <t>Billing Month</t>
  </si>
  <si>
    <t>Bills amount Rs</t>
  </si>
  <si>
    <t xml:space="preserve">Status </t>
  </si>
  <si>
    <t>Bills-Paid</t>
  </si>
  <si>
    <t>Panding Bill amount</t>
  </si>
  <si>
    <t>Order Date</t>
  </si>
  <si>
    <t>Remarks, if any</t>
  </si>
  <si>
    <t>10 Cont Services</t>
  </si>
  <si>
    <t>26 Advertise</t>
  </si>
  <si>
    <t>06 Telephone</t>
  </si>
  <si>
    <t>13 Office Exp</t>
  </si>
  <si>
    <t>14 Rent</t>
  </si>
  <si>
    <t>17 Computer</t>
  </si>
  <si>
    <t>27 Minor Works</t>
  </si>
  <si>
    <t>28 Prof Services</t>
  </si>
  <si>
    <t>31 Graint in Aid</t>
  </si>
  <si>
    <t>PMC - KPMG Advisory Ser</t>
  </si>
  <si>
    <t>KASP-MH/100069</t>
  </si>
  <si>
    <t>25/05/2026</t>
  </si>
  <si>
    <t>10% Deliverable</t>
  </si>
  <si>
    <t>Committee Approved 05.08.2026</t>
  </si>
  <si>
    <t>KASP-MH/A100127</t>
  </si>
  <si>
    <t>NOV. 2025</t>
  </si>
  <si>
    <t>15.07.2026</t>
  </si>
  <si>
    <t xml:space="preserve">DSU Nashik  KPMG </t>
  </si>
  <si>
    <t>KASP-HR/A100169</t>
  </si>
  <si>
    <t>Issued</t>
  </si>
  <si>
    <t>22.07.2026</t>
  </si>
  <si>
    <t>Substitution of the staff has been approved by IBRD/World Bank, and the contract amendment is in process.</t>
  </si>
  <si>
    <t>KASP-HR/A100228</t>
  </si>
  <si>
    <t> 31/05/2026</t>
  </si>
  <si>
    <t>KASP-HR/A100218</t>
  </si>
  <si>
    <t>KASP-HR/A100345</t>
  </si>
  <si>
    <t> 29/06/2026</t>
  </si>
  <si>
    <t>KASP-HR/A100536</t>
  </si>
  <si>
    <t> 30/07/2026</t>
  </si>
  <si>
    <t>Received 10.08.2026</t>
  </si>
  <si>
    <t>KASP-HR/A100566</t>
  </si>
  <si>
    <t>KASP-HR/A100611</t>
  </si>
  <si>
    <t>Incecption Report</t>
  </si>
  <si>
    <t>Received Tax invoice 18.08.2026</t>
  </si>
  <si>
    <t>KASP-HR/A100616</t>
  </si>
  <si>
    <t>Private Capital Mobi</t>
  </si>
  <si>
    <t>KASP-HR/A100627</t>
  </si>
  <si>
    <t>Public Disclosure</t>
  </si>
  <si>
    <t xml:space="preserve">DSU Pune - STC </t>
  </si>
  <si>
    <t>MahaSTRIDE/DSU/Pune/005</t>
  </si>
  <si>
    <t>Oct.2025</t>
  </si>
  <si>
    <t>21.07.2026</t>
  </si>
  <si>
    <t>MahaSTRIDE/DSU/Pune/006</t>
  </si>
  <si>
    <t>Nov.2025</t>
  </si>
  <si>
    <t>MahaSTRIDE/DSU/Pune/007</t>
  </si>
  <si>
    <t>Dec.2025</t>
  </si>
  <si>
    <t>MahaSTRIDE/8</t>
  </si>
  <si>
    <t>aproved 08.07.2026 File Submited</t>
  </si>
  <si>
    <t>MahaSTRIDE/9</t>
  </si>
  <si>
    <t>MahaSTRIDE/10</t>
  </si>
  <si>
    <t>MahaSTRIDE/12</t>
  </si>
  <si>
    <t>MahaSTRIDE/13</t>
  </si>
  <si>
    <t>Received Tax invoice 19.08.2026</t>
  </si>
  <si>
    <t>MahaSTRIDE/14</t>
  </si>
  <si>
    <t xml:space="preserve">25% of Jun 25  </t>
  </si>
  <si>
    <t>Received Proforma invoice 19.08.2026</t>
  </si>
  <si>
    <t xml:space="preserve">DSU CSN- Choice </t>
  </si>
  <si>
    <t>CCS/25-26/02-75</t>
  </si>
  <si>
    <t>16/02/2026</t>
  </si>
  <si>
    <t xml:space="preserve">Issued </t>
  </si>
  <si>
    <t>13.07.2026</t>
  </si>
  <si>
    <t>The MPR with attendance has not been attached.</t>
  </si>
  <si>
    <t>CCS/25-26/03-84</t>
  </si>
  <si>
    <t>16/03/2026</t>
  </si>
  <si>
    <t>CCS/25-26/04-47</t>
  </si>
  <si>
    <t>23/04/2026</t>
  </si>
  <si>
    <t>submited 15.07.2026 objection</t>
  </si>
  <si>
    <t>CCS/26-27/06-107</t>
  </si>
  <si>
    <t>26.06.2026</t>
  </si>
  <si>
    <t>5% Mob Private Cap</t>
  </si>
  <si>
    <t>Received 10.08.2026 25.08</t>
  </si>
  <si>
    <t>CCS/26-27/06-108</t>
  </si>
  <si>
    <t>4% Submit AAP to DSP</t>
  </si>
  <si>
    <t>CCS/26-27/06-110</t>
  </si>
  <si>
    <t>4%  Progress Intervation</t>
  </si>
  <si>
    <t>CCS/26-27/06-109</t>
  </si>
  <si>
    <t>2%  Progress Intervation</t>
  </si>
  <si>
    <t xml:space="preserve">DSU Amra Linpico                     </t>
  </si>
  <si>
    <t>40/2025-26</t>
  </si>
  <si>
    <t>18-03-2026</t>
  </si>
  <si>
    <t>42/2025-26</t>
  </si>
  <si>
    <t>27-03-2026</t>
  </si>
  <si>
    <t>21.07.2027</t>
  </si>
  <si>
    <t>Committee aproved 08.07.2026</t>
  </si>
  <si>
    <t>14/2026-27</t>
  </si>
  <si>
    <t>Received Tax invoice 25.08.2026</t>
  </si>
  <si>
    <t>15/2026-27</t>
  </si>
  <si>
    <t>13/2026-27</t>
  </si>
  <si>
    <t>Due clearence of approved CVs Jul 25 -Apr 26</t>
  </si>
  <si>
    <t xml:space="preserve">DSU Nagpur- E &amp; Y </t>
  </si>
  <si>
    <t>IN91HR6L029540</t>
  </si>
  <si>
    <t>21.04.2026</t>
  </si>
  <si>
    <t>IN91HR6L029397</t>
  </si>
  <si>
    <t>IN91HR6L029396</t>
  </si>
  <si>
    <t>Sept.25</t>
  </si>
  <si>
    <t>IN91HR6L030924</t>
  </si>
  <si>
    <t>IN91HR6L030925</t>
  </si>
  <si>
    <t>IN91HR6L030926</t>
  </si>
  <si>
    <t>IN91HR6L030927</t>
  </si>
  <si>
    <t>Jan.2026</t>
  </si>
  <si>
    <t>IN91HR7L033250</t>
  </si>
  <si>
    <t>11.03.2026</t>
  </si>
  <si>
    <t>Feb.2026</t>
  </si>
  <si>
    <t>IN91HR7L003872</t>
  </si>
  <si>
    <t>14.05.2026</t>
  </si>
  <si>
    <t>Mar.2026</t>
  </si>
  <si>
    <t xml:space="preserve">Pending Bills </t>
  </si>
  <si>
    <t>IN91HR7L004147</t>
  </si>
  <si>
    <t>19.05.2026</t>
  </si>
  <si>
    <t>12%Milestone Based</t>
  </si>
  <si>
    <t>Committee Approved 08.07.2026</t>
  </si>
  <si>
    <t>IN91HR7L004148</t>
  </si>
  <si>
    <t>5%Deliverable Based</t>
  </si>
  <si>
    <t>await</t>
  </si>
  <si>
    <t>IN91HR7L005348</t>
  </si>
  <si>
    <t>03.06.2026</t>
  </si>
  <si>
    <t>4%Deliverable Based</t>
  </si>
  <si>
    <t>IN91HR7L004146</t>
  </si>
  <si>
    <t>Apr.2026</t>
  </si>
  <si>
    <t>IN91HR7L007128</t>
  </si>
  <si>
    <t>22.06.2026</t>
  </si>
  <si>
    <t>IN91HR7L011745</t>
  </si>
  <si>
    <t>12.08.2026</t>
  </si>
  <si>
    <t>Received Tax invoice 31.08.2026</t>
  </si>
  <si>
    <t>IN91HR7L011976</t>
  </si>
  <si>
    <t>14.08.2026</t>
  </si>
  <si>
    <t xml:space="preserve">ICARE     </t>
  </si>
  <si>
    <t>ICARE/M/2627/002</t>
  </si>
  <si>
    <t>01.06.2026</t>
  </si>
  <si>
    <t>Milestone 1</t>
  </si>
  <si>
    <t>05.08.2026</t>
  </si>
  <si>
    <t>ICARE/M/2627/003</t>
  </si>
  <si>
    <t>MPR based 01/05/2026</t>
  </si>
  <si>
    <t>01.07.2026</t>
  </si>
  <si>
    <t>ICARE/M/2627/004</t>
  </si>
  <si>
    <t>01.08.2026</t>
  </si>
  <si>
    <t>Received 13.08.2026</t>
  </si>
  <si>
    <t xml:space="preserve">RELTEL </t>
  </si>
  <si>
    <t>06.08.2026</t>
  </si>
  <si>
    <t>Bill Submitted 18.08.2026</t>
  </si>
  <si>
    <t>17.08.2026</t>
  </si>
  <si>
    <t>AI Training Karjat </t>
  </si>
  <si>
    <t>06/2026-27</t>
  </si>
  <si>
    <t>28.05.2026</t>
  </si>
  <si>
    <t>3-4 may</t>
  </si>
  <si>
    <t>07.07.2026</t>
  </si>
  <si>
    <t>09/2026-27</t>
  </si>
  <si>
    <t>29.07.2026</t>
  </si>
  <si>
    <t>13-14 July</t>
  </si>
  <si>
    <t>10/2026-27</t>
  </si>
  <si>
    <t>27-28 July</t>
  </si>
  <si>
    <t xml:space="preserve">DMO Workshop </t>
  </si>
  <si>
    <t xml:space="preserve"> IVA -Lochan &amp; Co. </t>
  </si>
  <si>
    <t>LC/EInv/25Jul16</t>
  </si>
  <si>
    <t xml:space="preserve">Pending </t>
  </si>
  <si>
    <t>LC/EInv/25Jul17</t>
  </si>
  <si>
    <t>LC/EInv/25Jul18</t>
  </si>
  <si>
    <t>LC/EInv/25Jul19</t>
  </si>
  <si>
    <t>DOT DDO TRANSFER</t>
  </si>
  <si>
    <t>10 Contractul Services</t>
  </si>
  <si>
    <t>Minutes await PP 13.08.2026</t>
  </si>
  <si>
    <t xml:space="preserve">DOI  DDO </t>
  </si>
  <si>
    <t>12.06.2026</t>
  </si>
  <si>
    <t xml:space="preserve">CES  DDO </t>
  </si>
  <si>
    <t>10 Cont Ser</t>
  </si>
  <si>
    <t>03.07.2026</t>
  </si>
  <si>
    <t>13 OE</t>
  </si>
  <si>
    <t xml:space="preserve">INCENTIVE  </t>
  </si>
  <si>
    <t>31 Grant in aid</t>
  </si>
  <si>
    <t>Jalgaon</t>
  </si>
  <si>
    <t>Kolhapur</t>
  </si>
  <si>
    <t>Satara</t>
  </si>
  <si>
    <t>Washim</t>
  </si>
  <si>
    <t>Chandrapur</t>
  </si>
  <si>
    <t>Dhule</t>
  </si>
  <si>
    <t>Gondia</t>
  </si>
  <si>
    <t>Sangali</t>
  </si>
  <si>
    <t>Solapur</t>
  </si>
  <si>
    <t>Gadchiroli</t>
  </si>
  <si>
    <t>Nagpur</t>
  </si>
  <si>
    <t>Nandurbar</t>
  </si>
  <si>
    <t>Nashik</t>
  </si>
  <si>
    <t xml:space="preserve">Chandrapur Workshop </t>
  </si>
  <si>
    <t>05.06.2026</t>
  </si>
  <si>
    <t>SSC and RAA await</t>
  </si>
  <si>
    <t>Rs.5,00,000/ - to be paid.</t>
  </si>
  <si>
    <t>Anchor in Programme</t>
  </si>
  <si>
    <t xml:space="preserve">7th floor rent </t>
  </si>
  <si>
    <t>Zip pipes</t>
  </si>
  <si>
    <t>From Apr 26</t>
  </si>
  <si>
    <t xml:space="preserve">Internet TATA </t>
  </si>
  <si>
    <t>Tata Tele Business</t>
  </si>
  <si>
    <t>From May 26</t>
  </si>
  <si>
    <t xml:space="preserve"> TATA Telephone</t>
  </si>
  <si>
    <t>TATA WIFI TECHRAYS</t>
  </si>
  <si>
    <t>Stationery</t>
  </si>
  <si>
    <t>SDA Salary</t>
  </si>
  <si>
    <t>EXPENDITURE</t>
  </si>
  <si>
    <t>अ.क्र.</t>
  </si>
  <si>
    <t>मागणी क्रमांक</t>
  </si>
  <si>
    <t xml:space="preserve">लेखाशीर्ष </t>
  </si>
  <si>
    <t>उददीष्ट</t>
  </si>
  <si>
    <t xml:space="preserve"> खर्च (3451ए215) </t>
  </si>
  <si>
    <t xml:space="preserve">खर्च (3451ए224) </t>
  </si>
  <si>
    <t xml:space="preserve">खर्च (3451ए233) </t>
  </si>
  <si>
    <t>एकूण</t>
  </si>
  <si>
    <t>Balance on BEAMS</t>
  </si>
  <si>
    <t>3451A215</t>
  </si>
  <si>
    <t>3451A224</t>
  </si>
  <si>
    <t>3451A233</t>
  </si>
  <si>
    <t xml:space="preserve">ओ-07, 3451, सचिवालयीन आर्थिक सेवा 00, 092, इतर कार्यालये (00), (00)(02/3/4) महाराष्ट्र  जिल्हास्तरीय विकासास चालना देण्यासाठी संस्थात्मक क्षमता सक्षमीकरण प्रकल्प-MahaSTRIDE (बाहय हिस्सा 70% - जागतिक बँक/30 राज्य‍ हिस्सा/ P for R) (कार्यक्रम) (3451A215/A224/A233) </t>
  </si>
  <si>
    <t>01, वेतन</t>
  </si>
  <si>
    <t>06, दुरध्वनी, वीज व पाणी शुल्क</t>
  </si>
  <si>
    <t>Actual EXP</t>
  </si>
  <si>
    <t>10, कंत्राटी सेवा</t>
  </si>
  <si>
    <t>11, देशांतर्गत प्रवास खर्च</t>
  </si>
  <si>
    <t>13, कार्यालयीन खर्च</t>
  </si>
  <si>
    <t>14, भाडेपट्टी व कर</t>
  </si>
  <si>
    <t>16, प्रकाशने</t>
  </si>
  <si>
    <t>17, संगणक खर्च</t>
  </si>
  <si>
    <t>21, पुरवठा व सामुग्री</t>
  </si>
  <si>
    <t>24, पेट्रोल, तेल व वंगण</t>
  </si>
  <si>
    <t>26, जाहीरात व प्रसिध्दी</t>
  </si>
  <si>
    <t>27, लहान बांधकामे</t>
  </si>
  <si>
    <t>28, व्यावसायिक सेवा</t>
  </si>
  <si>
    <t xml:space="preserve">31, सहाय्यक अनुदान (वेतनेतर) </t>
  </si>
  <si>
    <t xml:space="preserve">10 CS </t>
  </si>
  <si>
    <t>Other Than 10CS</t>
  </si>
  <si>
    <t>SSM</t>
  </si>
  <si>
    <t>QCI/AUG26/02316</t>
  </si>
  <si>
    <t>21.08.2026</t>
  </si>
  <si>
    <t>20%Of Total</t>
  </si>
  <si>
    <t>Project income-Management Consulting &amp;services</t>
  </si>
  <si>
    <t>10%Of Total</t>
  </si>
  <si>
    <t>Submission of Bills  for Approval in Meeting 04.09.2026 – MahaSTRIDE Operation</t>
  </si>
  <si>
    <t xml:space="preserve">Invoice Date </t>
  </si>
  <si>
    <t xml:space="preserve"> Bills amount Rs</t>
  </si>
  <si>
    <t>Received Date/ Status of Bill</t>
  </si>
  <si>
    <t>Remarks</t>
  </si>
  <si>
    <r>
      <t>Aproved Bills-</t>
    </r>
    <r>
      <rPr>
        <sz val="12"/>
        <color theme="1"/>
        <rFont val="Arial"/>
        <family val="2"/>
      </rPr>
      <t>for-</t>
    </r>
    <r>
      <rPr>
        <b/>
        <sz val="12"/>
        <color theme="1"/>
        <rFont val="Arial"/>
        <family val="2"/>
      </rPr>
      <t>- Treasury</t>
    </r>
  </si>
  <si>
    <t xml:space="preserve">DSU Nashik - KPMG </t>
  </si>
  <si>
    <t>Verification in process</t>
  </si>
  <si>
    <t xml:space="preserve">4% of total yearly contract value for milestone base. </t>
  </si>
  <si>
    <t xml:space="preserve">5% of total yearly contract value for milestone base. </t>
  </si>
  <si>
    <t xml:space="preserve">12% of total yearly contract value for milestone base. </t>
  </si>
  <si>
    <t>Received Tax invoice 20.08.2026</t>
  </si>
  <si>
    <t xml:space="preserve">Objected on file- IVA report and deploy Man power  </t>
  </si>
  <si>
    <t>4%  out of 12 % timely preperation of AAP of DSP, submission to the State planning department of AAP  of DSP.</t>
  </si>
  <si>
    <t>4% out of 8 % for Tracking and Reporting of progress achievement of each intervention of AAP of DSP of all 8 Dist</t>
  </si>
  <si>
    <t>2% out of 8 % for Tracking and Reporting of progress achievement of each intervention of AAP of DSP of all 8 Dist</t>
  </si>
  <si>
    <t xml:space="preserve">DSU Amravati Linpico                     </t>
  </si>
  <si>
    <t>Due clearence of approved CVs            Jul 2025 -Apr 2026</t>
  </si>
  <si>
    <t xml:space="preserve">DSU Nagpur - E &amp; Y LLP </t>
  </si>
  <si>
    <t xml:space="preserve">IVA report is still not received </t>
  </si>
  <si>
    <t>World Bank approval for the IVA report is awaited</t>
  </si>
  <si>
    <t>Div Comm acceptance confirmation received 21.07.2026 31.08.2026</t>
  </si>
  <si>
    <t>As per last MoM, Required redrafted report from 30.06.2025 to 30.09.2025 and 01.10.2025 to 31.03.2026 is still awaited</t>
  </si>
  <si>
    <t xml:space="preserve">ICARE   </t>
  </si>
  <si>
    <t>IIM Ahmadabad IDDP</t>
  </si>
  <si>
    <t>31.08.2026</t>
  </si>
  <si>
    <t>Received 03.09.2026</t>
  </si>
  <si>
    <t>E &amp; Y LLP Agriculture In MITRA</t>
  </si>
  <si>
    <t>IN91WB71000949</t>
  </si>
  <si>
    <t>23.06.2026</t>
  </si>
  <si>
    <t>16 th May to 15th June 2026</t>
  </si>
  <si>
    <t>Received 23.06.2026</t>
  </si>
  <si>
    <t xml:space="preserve">Bill For Project Based Initiative for Agriculture and allied sector </t>
  </si>
  <si>
    <t>Bill received on 29.07.2026</t>
  </si>
  <si>
    <t>Approved in Meeting 05.08.2026</t>
  </si>
  <si>
    <t>Last Balance IR 75% 50%</t>
  </si>
  <si>
    <t>DDO TRANSFER</t>
  </si>
  <si>
    <t>Minutes await</t>
  </si>
  <si>
    <t>DOI  DDO TRANSFER</t>
  </si>
  <si>
    <t>file submitted 20.07.2026</t>
  </si>
  <si>
    <t>Commissione, Economics and Statistics</t>
  </si>
  <si>
    <t>Issued-Transferred to DDO</t>
  </si>
  <si>
    <t>17 Computer 3.5</t>
  </si>
  <si>
    <t>Chandrapur Workshop 24.04.2026</t>
  </si>
  <si>
    <t xml:space="preserve">To be placed in SSC and then Revised AA </t>
  </si>
  <si>
    <t>Anchoring in workshop</t>
  </si>
  <si>
    <t>Asawari Deshpande</t>
  </si>
  <si>
    <t>7th floor rent</t>
  </si>
  <si>
    <t>Telephone TATA</t>
  </si>
  <si>
    <t>Advertisement of Bills 3056795</t>
  </si>
  <si>
    <t>3451ए215</t>
  </si>
  <si>
    <t>Bills Status as on 31/08/2026 – MahaSTRIDE Operation BILLS To Be Submitted on file for release Bill amount</t>
  </si>
  <si>
    <t>Received Bills amount Rs</t>
  </si>
  <si>
    <t>PMC - KPMG 3062986 part</t>
  </si>
  <si>
    <t xml:space="preserve">Approved by committee 05.08.2026 File for submission email received </t>
  </si>
  <si>
    <t>PMC - KPMG 3062986 Part</t>
  </si>
  <si>
    <t>Bill  PASSED on 04.08.2026</t>
  </si>
  <si>
    <t>TOTAL-A</t>
  </si>
  <si>
    <t xml:space="preserve"> DSU Nashik-KPMG  3076998</t>
  </si>
  <si>
    <t>KASP-HR/900709</t>
  </si>
  <si>
    <t>Bill PASSED on 04.08.2026</t>
  </si>
  <si>
    <t xml:space="preserve">Approved by committee 05.08.2026 File for submission </t>
  </si>
  <si>
    <t>Received Tax invoice 10.08.2026</t>
  </si>
  <si>
    <t>KASP-HR/A100702</t>
  </si>
  <si>
    <t>3108/2026</t>
  </si>
  <si>
    <t>Received Tax invoice 02.09.2026</t>
  </si>
  <si>
    <t>TOTAL-B</t>
  </si>
  <si>
    <t xml:space="preserve">DSU Pune - STC 3076970 </t>
  </si>
  <si>
    <t>File Submitted 31.07.2026 Objected</t>
  </si>
  <si>
    <t>File Submitted 31.07.2026 Kolhapur Obj Konale</t>
  </si>
  <si>
    <t>Approved by committee 05.08.2026 File submitted</t>
  </si>
  <si>
    <t>MahaSTRIDE/11</t>
  </si>
  <si>
    <t>Jun 25 to Mar 26 25%</t>
  </si>
  <si>
    <t>Report awaited</t>
  </si>
  <si>
    <t>Jun 25 to Mar 26 25% Remun</t>
  </si>
  <si>
    <t>Received Proforma invoice 20.08.2026</t>
  </si>
  <si>
    <t>TOTAL-C</t>
  </si>
  <si>
    <t>DSU CSN- Choice 3081210</t>
  </si>
  <si>
    <t>Bill  PASSED on 10.08.2026</t>
  </si>
  <si>
    <t>Bill file submited 15.07.2026 Objection achievement</t>
  </si>
  <si>
    <t>TOTAL-D</t>
  </si>
  <si>
    <t xml:space="preserve">DSU Amra Linpico 3077322                    </t>
  </si>
  <si>
    <t>03/2026-27</t>
  </si>
  <si>
    <t>Approved by committee File for submitted</t>
  </si>
  <si>
    <t>04/2026-27</t>
  </si>
  <si>
    <t>TOTAL-E</t>
  </si>
  <si>
    <t>DSU Nagpur- E &amp; Y 3083374</t>
  </si>
  <si>
    <t>17.02.2026</t>
  </si>
  <si>
    <t>Bill  PASSED on 24.04.2026</t>
  </si>
  <si>
    <t>17.02.2027</t>
  </si>
  <si>
    <t>17.02.2028</t>
  </si>
  <si>
    <t>17.02.2029</t>
  </si>
  <si>
    <t>17.02.2030</t>
  </si>
  <si>
    <t>17.02.2031</t>
  </si>
  <si>
    <t>17.02.2032</t>
  </si>
  <si>
    <t xml:space="preserve">Approved by committee 08.07.2026 File for submission </t>
  </si>
  <si>
    <t>4%Half Yearly</t>
  </si>
  <si>
    <t>Div Comm acceptance confirmation not/received.</t>
  </si>
  <si>
    <t>TOTAL-F</t>
  </si>
  <si>
    <t>GRAND TOTAL</t>
  </si>
  <si>
    <t>ICARE     3315531</t>
  </si>
  <si>
    <t>In Treausary Order 05.08.2026</t>
  </si>
  <si>
    <t>MPR based</t>
  </si>
  <si>
    <t>Bill  to be PASSED on    19.08.2026</t>
  </si>
  <si>
    <t>TOTAL-G</t>
  </si>
  <si>
    <t>RELTEL 2928468</t>
  </si>
  <si>
    <t>Bill Submitted to Treausary 18.08.2026</t>
  </si>
  <si>
    <t>TOTAL-H</t>
  </si>
  <si>
    <t>AI Training Karjat 3184274</t>
  </si>
  <si>
    <t>Sub-total I</t>
  </si>
  <si>
    <t>Bill Passed 07.07.2026</t>
  </si>
  <si>
    <r>
      <t xml:space="preserve">DMO Workshop </t>
    </r>
    <r>
      <rPr>
        <b/>
        <sz val="9"/>
        <color theme="1"/>
        <rFont val="Arial"/>
        <family val="2"/>
      </rPr>
      <t xml:space="preserve">(TRIDENT) </t>
    </r>
  </si>
  <si>
    <t>Bill Passed 30.07.2026</t>
  </si>
  <si>
    <t xml:space="preserve"> IVA -Lochan &amp; Co. 3071248</t>
  </si>
  <si>
    <t>3451A215 10-Cont Services</t>
  </si>
  <si>
    <t>CES  3010378</t>
  </si>
  <si>
    <t>Chandrapur Workshop 24.04.2026 3134255</t>
  </si>
  <si>
    <t>7th floor rent 3195848</t>
  </si>
  <si>
    <t>Internet TATA 3215203</t>
  </si>
  <si>
    <t>SDA + Other Officers</t>
  </si>
  <si>
    <t>Bills as on 17/06/2026 – MahaSTRIDE Operation</t>
  </si>
  <si>
    <t>PMC - KPMG Advisory Services Pvt. Ltd. Part 1-3062986</t>
  </si>
  <si>
    <t>DSU Nashik  KPMG 3076998</t>
  </si>
  <si>
    <t>Received on 15.07.2026</t>
  </si>
  <si>
    <t>DSU CSN- Choice  3081210</t>
  </si>
  <si>
    <t>INCENTIVE  3385856</t>
  </si>
  <si>
    <t>TOTAL</t>
  </si>
  <si>
    <t>Firewall Dipankar 3099696</t>
  </si>
  <si>
    <t>Status of Approved and pending bills as on 18/03/2026 – MahaSTRIDE Operation</t>
  </si>
  <si>
    <t>Received 70/75% Bills amount Rs</t>
  </si>
  <si>
    <t>Received 30/25% Bills amount Rs</t>
  </si>
  <si>
    <t>Bill Release Amount Rs</t>
  </si>
  <si>
    <t>PMC - KPMG Advisory Services Pvt. Ltd. 3062986</t>
  </si>
  <si>
    <t>KASP-MH/900033</t>
  </si>
  <si>
    <t>28/04/2025</t>
  </si>
  <si>
    <t>ISSUED</t>
  </si>
  <si>
    <t>23.02.2026</t>
  </si>
  <si>
    <t>KASP-MH/900103</t>
  </si>
  <si>
    <t>KASP-MH/900132</t>
  </si>
  <si>
    <t>KASP-MH/900228</t>
  </si>
  <si>
    <t>KASP-MH/900309</t>
  </si>
  <si>
    <t>KASP-MH/900423</t>
  </si>
  <si>
    <t>30/09/2025</t>
  </si>
  <si>
    <t>20.03.2026</t>
  </si>
  <si>
    <t>KASP-MH/900645</t>
  </si>
  <si>
    <t>26/12/2025</t>
  </si>
  <si>
    <t>KASP-MH/900468</t>
  </si>
  <si>
    <t>30/12/2025</t>
  </si>
  <si>
    <t>Oct.25</t>
  </si>
  <si>
    <t>KASP-MH/900741</t>
  </si>
  <si>
    <t>16.02.2026</t>
  </si>
  <si>
    <t>KASP-MH/900745</t>
  </si>
  <si>
    <t>KASP-MH/900759</t>
  </si>
  <si>
    <t>20.02.2026</t>
  </si>
  <si>
    <t>KASP-MH/900806</t>
  </si>
  <si>
    <t>28.02.2026</t>
  </si>
  <si>
    <t>KASP-MH/900265</t>
  </si>
  <si>
    <t>29/07/2025</t>
  </si>
  <si>
    <t>Milestone Deliverable</t>
  </si>
  <si>
    <t>Total A</t>
  </si>
  <si>
    <t xml:space="preserve">District Strategic Unit (DSU) </t>
  </si>
  <si>
    <t>Division : Nashik - KPMG Advisory 3076998</t>
  </si>
  <si>
    <t>July &amp; Aug.25</t>
  </si>
  <si>
    <t>KASP-HR/900762</t>
  </si>
  <si>
    <t>16/10/2025</t>
  </si>
  <si>
    <t>KASP-HR/901275</t>
  </si>
  <si>
    <t>28.01.2026</t>
  </si>
  <si>
    <t>24.03.2026</t>
  </si>
  <si>
    <t>KASP-HR/901277</t>
  </si>
  <si>
    <t>KASP-HR/901289</t>
  </si>
  <si>
    <t>31.01.2026</t>
  </si>
  <si>
    <t>Sub-total  B</t>
  </si>
  <si>
    <t xml:space="preserve">Division : Pune - STC 3076970 </t>
  </si>
  <si>
    <t>MahaSTRIDE/DSU/Pune/001</t>
  </si>
  <si>
    <t>25/07/2025</t>
  </si>
  <si>
    <t>MahaSTRIDE/DSU/Pune/002</t>
  </si>
  <si>
    <t>MahaSTRIDE/DSU/Pune/003</t>
  </si>
  <si>
    <t>MahaSTRIDE/DSU/Pune/004</t>
  </si>
  <si>
    <t>18/10/2025</t>
  </si>
  <si>
    <t>Sub-total C</t>
  </si>
  <si>
    <t xml:space="preserve">Division : CSN- Choice  Consultancy </t>
  </si>
  <si>
    <t>CCSPT/25-26/07-01</t>
  </si>
  <si>
    <t>CCS/25-26/08-04</t>
  </si>
  <si>
    <t>CCS/25-26/09-25</t>
  </si>
  <si>
    <t>16/09/2025</t>
  </si>
  <si>
    <t>CCS/25-26/10-13</t>
  </si>
  <si>
    <t>13/10/2025</t>
  </si>
  <si>
    <t>CCS/25-26/11-43</t>
  </si>
  <si>
    <t>13/11/2025</t>
  </si>
  <si>
    <t>CCS/25-26/01-39</t>
  </si>
  <si>
    <t>22/01/2026</t>
  </si>
  <si>
    <t>CCS/25-26/01-40</t>
  </si>
  <si>
    <t>Sub-total  D</t>
  </si>
  <si>
    <r>
      <t xml:space="preserve">Division : Amravati - Limpico &amp; Co.                                 </t>
    </r>
    <r>
      <rPr>
        <b/>
        <sz val="16"/>
        <color theme="1"/>
        <rFont val="Arial"/>
        <family val="2"/>
      </rPr>
      <t>3451A224</t>
    </r>
  </si>
  <si>
    <t>10-2025-26</t>
  </si>
  <si>
    <t>23.03.2026</t>
  </si>
  <si>
    <t>11/2025-26</t>
  </si>
  <si>
    <t>16/2025-26</t>
  </si>
  <si>
    <t>21/2025-26</t>
  </si>
  <si>
    <t>Sept-.2025</t>
  </si>
  <si>
    <t>31/2025-26</t>
  </si>
  <si>
    <t>Oct &amp; Nov 25</t>
  </si>
  <si>
    <t>35/2025-26</t>
  </si>
  <si>
    <t xml:space="preserve">Sub-total  E </t>
  </si>
  <si>
    <t xml:space="preserve">Division: Nagpur - E &amp; Y LLP </t>
  </si>
  <si>
    <t>ISSUED not cleared</t>
  </si>
  <si>
    <t>Sub-total  F</t>
  </si>
  <si>
    <t xml:space="preserve">Independent Verification Agency (IVA) - Lochan &amp; Co. </t>
  </si>
  <si>
    <t>IVA -Lochan &amp; Co. 3071248</t>
  </si>
  <si>
    <t>-</t>
  </si>
  <si>
    <t>Sub-total  G</t>
  </si>
  <si>
    <t>Total ( A to G)</t>
  </si>
  <si>
    <t>IIM- Nagpur - Inauguration of MahaSTRIDE Operation 2921024 3076647</t>
  </si>
  <si>
    <t>3451A233-13 OE</t>
  </si>
  <si>
    <t>ISSUED Balance 500000 Demanded to Planning</t>
  </si>
  <si>
    <t>25.06.2025 09.02.2026</t>
  </si>
  <si>
    <t xml:space="preserve">Total </t>
  </si>
  <si>
    <t>3451A215-26 Adv</t>
  </si>
  <si>
    <t xml:space="preserve">Times of India </t>
  </si>
  <si>
    <t>13.02.2026</t>
  </si>
  <si>
    <t>MH10745469</t>
  </si>
  <si>
    <t xml:space="preserve">Loksatta </t>
  </si>
  <si>
    <t>NA25CBLZZZ5360</t>
  </si>
  <si>
    <t xml:space="preserve">Lokmat </t>
  </si>
  <si>
    <t xml:space="preserve">Moulis - Advertising for Vedio </t>
  </si>
  <si>
    <t>3451A233-26 Adv</t>
  </si>
  <si>
    <t>13/01/2026</t>
  </si>
  <si>
    <t>Paid</t>
  </si>
  <si>
    <t>10.02.2026</t>
  </si>
  <si>
    <t xml:space="preserve">Director of Economics and Statistics for Training and tablets </t>
  </si>
  <si>
    <t>training 3451A233</t>
  </si>
  <si>
    <t>09.03.2026</t>
  </si>
  <si>
    <t>tablets 3451A233</t>
  </si>
  <si>
    <t>17 COMPUTER</t>
  </si>
  <si>
    <t>16.03.2026</t>
  </si>
  <si>
    <t>DDO Transfer</t>
  </si>
  <si>
    <t>ADVERTISE by DES for PMC appoint</t>
  </si>
  <si>
    <t>26-Advert</t>
  </si>
  <si>
    <t>16.03.2026 24.03.2026</t>
  </si>
  <si>
    <t>27.03.2026</t>
  </si>
  <si>
    <t>Mr. Somnath Shambhunaths Travel invoice</t>
  </si>
  <si>
    <t>16.09.2025</t>
  </si>
  <si>
    <t>Proposed from MITRA head</t>
  </si>
  <si>
    <t xml:space="preserve">Payment to MRSAC for purchase Computer software </t>
  </si>
  <si>
    <t>Revised release</t>
  </si>
  <si>
    <t>31.03.2026</t>
  </si>
  <si>
    <t>3 Laptops MITRA</t>
  </si>
  <si>
    <t>Advertise MITRA</t>
  </si>
  <si>
    <t>RTS</t>
  </si>
  <si>
    <t>10- Contrac</t>
  </si>
  <si>
    <t>Stationary MITRA</t>
  </si>
  <si>
    <t>Pune Johans Zute</t>
  </si>
  <si>
    <t>HEAD</t>
  </si>
  <si>
    <t>SUB HEAD</t>
  </si>
  <si>
    <t>DEMANDED on BEAMS</t>
  </si>
  <si>
    <t>Available on BEAMS</t>
  </si>
  <si>
    <t>DEMANDED on Field</t>
  </si>
  <si>
    <t>ORDER RELEASED</t>
  </si>
  <si>
    <t>Demand Deficit BEAMS</t>
  </si>
  <si>
    <t>Release Balance Beams</t>
  </si>
  <si>
    <t>Defecit in Bill</t>
  </si>
  <si>
    <t>10 Contractual Se</t>
  </si>
  <si>
    <t>13 office exp</t>
  </si>
  <si>
    <t xml:space="preserve">17 Computer </t>
  </si>
  <si>
    <t>आर्थिक वर्ष 2026-27, ओ-07, 3451, सचिवालयीन आर्थिक सेवा 00, 092, इतर कार्यालये (00), (00) (02/3/4) महाराष्ट्र  जिल्हास्तरीय विकासास चालना देण्यासाठी संस्थात्मक क्षमता सक्षमीकरण प्रकल्प-MahaSTRIDE (बाहय हिस्सा 70% - जागतिक बँक/30 राज्य‍ हिस्सा/ P for R) (कार्यक्रम) (3451A215/A224/A233) 06 ऑगस्ट, 2026 अखेर खर्च</t>
  </si>
  <si>
    <t xml:space="preserve">(रु. हजारात) </t>
  </si>
  <si>
    <t xml:space="preserve"> अर्थसंकल्पीय तरतूद (3451ए215) </t>
  </si>
  <si>
    <t>झालेला खर्च</t>
  </si>
  <si>
    <t xml:space="preserve"> अर्थसंकल्पीय तरतूद (3451ए224) </t>
  </si>
  <si>
    <t xml:space="preserve"> अर्थसंकल्पीय तरतूद (3451ए233) </t>
  </si>
  <si>
    <t>एकूण  अर्थसंकल्पीय तरतूद</t>
  </si>
  <si>
    <t>एकूण झालेला खर्च</t>
  </si>
  <si>
    <t xml:space="preserve">ओ-07, 3451, सचिवालयीन आर्थिक सेवा 00, 092, इतर कार्यालये (00), (00) (02/3/4) महाराष्ट्र  जिल्हास्तरीय विकासास चालना देण्यासाठी संस्थात्मक क्षमता सक्षमीकरण प्रकल्प-MahaSTRIDE (बाहय हिस्सा 70% - जागतिक बँक/30 राज्य‍ हिस्सा/ P for R) (कार्यक्रम) (3451A215/A224/A233) </t>
  </si>
  <si>
    <t>चार महिण्यासाठी मागणी रक्कम</t>
  </si>
  <si>
    <t>एकूण तरतूद</t>
  </si>
  <si>
    <t>एकूण मागणी</t>
  </si>
  <si>
    <t>ओ-07, 3451, सचिवालयीन आर्थिक सेवा 00, 092, इतर कार्यालये (00), (00) (02/3/4) महाराष्ट्र  जिल्हास्तरीय विकासास चालना देण्यासाठी संस्थात्मक क्षमता सक्षमीकरण प्रकल्प-MahaSTRIDE (बाहय हिस्सा 70% - जागतिक बँक/30 राज्य‍ हिस्सा/ P for R) (कार्यक्रम) (3451A215/A224/A233)</t>
  </si>
  <si>
    <r>
      <t>(रु. हजारात)</t>
    </r>
    <r>
      <rPr>
        <sz val="10"/>
        <color rgb="FF000000"/>
        <rFont val="Cambria"/>
        <family val="1"/>
      </rPr>
      <t> </t>
    </r>
  </si>
  <si>
    <t xml:space="preserve">   अर्थसंकल्पीय तरतूद (3451ए215) </t>
  </si>
  <si>
    <t>BEAMS वर प्राप्त रक्कम</t>
  </si>
  <si>
    <t>BEAMS वर शिल्लक रक्कम</t>
  </si>
  <si>
    <t>Reappro</t>
  </si>
  <si>
    <t>Withdrawa</t>
  </si>
  <si>
    <t>Balance</t>
  </si>
  <si>
    <t>Bills as on 10/06/2026 – MahaSTRIDE Operation</t>
  </si>
  <si>
    <t>Bill Received Date</t>
  </si>
  <si>
    <t>Monthly Progress Report Approved.</t>
  </si>
  <si>
    <t>NOV. 2025 to Feb 2026</t>
  </si>
  <si>
    <t xml:space="preserve"> </t>
  </si>
  <si>
    <t>Division : DSU Nashik - KPMG Advisory 3076998</t>
  </si>
  <si>
    <t>29.05.2026</t>
  </si>
  <si>
    <t>02.06.2026</t>
  </si>
  <si>
    <t>Division : CSN- Choice  Consultancy              3081210</t>
  </si>
  <si>
    <t xml:space="preserve">Division : Amravati - Limpico &amp; Co.                                 </t>
  </si>
  <si>
    <t>RECEIVED</t>
  </si>
  <si>
    <t>05.05.2026</t>
  </si>
  <si>
    <t>4%Half yearly</t>
  </si>
  <si>
    <t>24.06.2026</t>
  </si>
  <si>
    <t>Last Balance</t>
  </si>
  <si>
    <t>AI Training Karjat</t>
  </si>
  <si>
    <t>Workshop at TRIDENT 12.05.2026</t>
  </si>
  <si>
    <t>Salary</t>
  </si>
  <si>
    <t xml:space="preserve">28 Prof </t>
  </si>
  <si>
    <t>Sub-total A</t>
  </si>
  <si>
    <t>Minutes of Meeting of bill committee for PMC and District Strategic Unit (DSU) bills – MahaSTRIDE Operation Dt 16.03.2026</t>
  </si>
  <si>
    <t xml:space="preserve">Inv. No. </t>
  </si>
  <si>
    <t xml:space="preserve">Received Bills </t>
  </si>
  <si>
    <t>Checked Amount</t>
  </si>
  <si>
    <t>Remark</t>
  </si>
  <si>
    <t>PMC(KPMG) Bills of month Nov 2025 to Feb 2026 for amount INR 7510948/- have been reviewed  and approved by the committee.</t>
  </si>
  <si>
    <t>DSU Division : Nashik - KPMG Advisory 3076998</t>
  </si>
  <si>
    <t>KPMG Nashik Bills of month Oct 2025 to Dec 2025 for amount INR 12778617/- have been reviewed  and approved by the committee.</t>
  </si>
  <si>
    <t xml:space="preserve">DSU Division : Chhatrapati Sambhaji Nagar- Choice  Consultancy </t>
  </si>
  <si>
    <t>Choice Consultancy Nashik Bills of month Jun 2025 to Dec 2025 for amount INR 38974760/- have been reviewed  and approved by the committee.</t>
  </si>
  <si>
    <t>The foreclosure process is ongoing.</t>
  </si>
  <si>
    <t xml:space="preserve">DSU Division : Amravati - Linpico &amp; Co. </t>
  </si>
  <si>
    <t>Linpico and Co. Amaravati Bills of month Jun 2025 to Dec 2025 for ramount INR 8212073/- have been reviewed  and approved by the committee with recalculated amount of the month Oct and Nov 2025.</t>
  </si>
  <si>
    <t xml:space="preserve">DSU Division: Nagpur - E &amp; Y LLP </t>
  </si>
  <si>
    <t>E&amp;Y LLP Nagpur Bills of month Jul 2025 to Jan 2026 for ramount INR 2,99,12,190/- have been reviewed  and approved by the committee with recalculated amount of the month Nov 2025.</t>
  </si>
  <si>
    <t>IPF- 3451A215</t>
  </si>
  <si>
    <t xml:space="preserve">Bills other than DSU and PMC can be submitted as routin work instead of go to Bill committee, While such bills amounting above INR 1.00 cr should brought to Bill committee. </t>
  </si>
  <si>
    <t>Bill is approved to pay from MITRAS Head 3451A126 as that expert is not appointed on MahaSTRIDE Project.</t>
  </si>
  <si>
    <t>Status of pending bills as on 13/03/2026 – MahaSTRIDE Operation</t>
  </si>
  <si>
    <t xml:space="preserve">Division : Chhatrapati Sambhaji Nagar- Choice  Consultancy </t>
  </si>
  <si>
    <t xml:space="preserve">Division : Amravati - Limpico &amp; Co. </t>
  </si>
  <si>
    <t>MITRA</t>
  </si>
  <si>
    <t>Status of Approved and pending bills as on 05/02/2026 – MahaSTRIDE Operation</t>
  </si>
  <si>
    <t xml:space="preserve">Approved Bills </t>
  </si>
  <si>
    <t xml:space="preserve">PMC - KPMG Advisory Services Pvt. Ltd. </t>
  </si>
  <si>
    <t>Monthly Progress Report - Review in Process</t>
  </si>
  <si>
    <t>Deliverable approved by Project Director, MahaSTRIDE</t>
  </si>
  <si>
    <t xml:space="preserve">Division : Nashik - KPMG Advisory </t>
  </si>
  <si>
    <t>Sub-total  A</t>
  </si>
  <si>
    <t xml:space="preserve">Division : Pune - STC </t>
  </si>
  <si>
    <t>Sub-total B</t>
  </si>
  <si>
    <t>Sub-total  C</t>
  </si>
  <si>
    <t>10/2025-26</t>
  </si>
  <si>
    <t>25/09/2025</t>
  </si>
  <si>
    <t>20/11/2025</t>
  </si>
  <si>
    <t xml:space="preserve">Division: Nagpur </t>
  </si>
  <si>
    <t>Sub-total E</t>
  </si>
  <si>
    <t>Total ( A+B+C+D)</t>
  </si>
  <si>
    <t xml:space="preserve">IVA -Lochan &amp; Co. </t>
  </si>
  <si>
    <t>Total</t>
  </si>
  <si>
    <t xml:space="preserve">IIM- Nagpur - Inauguration of MahaSTRIDE Operation </t>
  </si>
  <si>
    <t>Rs.5,00,000/ - advance has been paid.</t>
  </si>
  <si>
    <t xml:space="preserve">Advertisement of Bills </t>
  </si>
  <si>
    <t xml:space="preserve">Grand Total </t>
  </si>
  <si>
    <t>Mrs. Kalpana Murmu SorenHon’ble MLA, Jharkhand</t>
  </si>
  <si>
    <t xml:space="preserve"> Mrs. Rita Baswatiya
 Under Secretary, Jharkhand</t>
  </si>
  <si>
    <t>Pravin Shrivastav, Chief Data Officer, MAHARASHTRA</t>
  </si>
  <si>
    <t xml:space="preserve">Deepak Karanjikar, Expert  Membar, Governing Council, MITRA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</si>
</sst>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4000439]0"/>
  </numFmts>
  <fonts count="69" x14ac:knownFonts="1">
    <font>
      <sz val="11"/>
      <color theme="1"/>
      <name val="Aptos Narrow"/>
      <family val="2"/>
      <scheme val="minor"/>
    </font>
    <font>
      <b/>
      <sz val="14"/>
      <color theme="1"/>
      <name val="Arial"/>
      <family val="2"/>
    </font>
    <font>
      <sz val="14"/>
      <color theme="1"/>
      <name val="Arial"/>
      <family val="2"/>
    </font>
    <font>
      <sz val="12"/>
      <color theme="1"/>
      <name val="Arial"/>
      <family val="2"/>
    </font>
    <font>
      <b/>
      <sz val="12"/>
      <color theme="1"/>
      <name val="Arial"/>
      <family val="2"/>
    </font>
    <font>
      <sz val="12"/>
      <color theme="1"/>
      <name val="Times New Roman"/>
      <family val="1"/>
    </font>
    <font>
      <sz val="12"/>
      <name val="Arial"/>
      <family val="2"/>
    </font>
    <font>
      <sz val="12"/>
      <color theme="1"/>
      <name val="Segoe UI"/>
      <family val="2"/>
    </font>
    <font>
      <sz val="12"/>
      <color theme="1" tint="0.34998626667073579"/>
      <name val="Arial"/>
      <family val="2"/>
    </font>
    <font>
      <sz val="12"/>
      <color theme="1" tint="0.34998626667073579"/>
      <name val="Times New Roman"/>
      <family val="1"/>
    </font>
    <font>
      <b/>
      <sz val="12"/>
      <color rgb="FFFF0000"/>
      <name val="Arial"/>
      <family val="2"/>
    </font>
    <font>
      <b/>
      <sz val="12"/>
      <name val="Arial"/>
      <family val="2"/>
    </font>
    <font>
      <sz val="12"/>
      <color rgb="FFFF0000"/>
      <name val="Arial"/>
      <family val="2"/>
    </font>
    <font>
      <sz val="10"/>
      <color theme="1"/>
      <name val="Arial"/>
      <family val="2"/>
    </font>
    <font>
      <b/>
      <sz val="9"/>
      <color rgb="FF000000"/>
      <name val="Times New Roman"/>
      <family val="1"/>
    </font>
    <font>
      <sz val="10"/>
      <color theme="1"/>
      <name val="DVOT-SurekhMR"/>
    </font>
    <font>
      <b/>
      <sz val="10"/>
      <color theme="1"/>
      <name val="Arial"/>
      <family val="2"/>
    </font>
    <font>
      <b/>
      <sz val="16"/>
      <color theme="1"/>
      <name val="Arial"/>
      <family val="2"/>
    </font>
    <font>
      <b/>
      <sz val="16"/>
      <color rgb="FFFF0000"/>
      <name val="Arial"/>
      <family val="2"/>
    </font>
    <font>
      <sz val="12"/>
      <color rgb="FFFF0000"/>
      <name val="Segoe UI"/>
      <family val="2"/>
    </font>
    <font>
      <sz val="12"/>
      <name val="Segoe UI"/>
      <family val="2"/>
    </font>
    <font>
      <sz val="8"/>
      <name val="Aptos Narrow"/>
      <family val="2"/>
      <scheme val="minor"/>
    </font>
    <font>
      <sz val="11"/>
      <color theme="1"/>
      <name val="DVOT-Surekh"/>
    </font>
    <font>
      <b/>
      <sz val="11"/>
      <color theme="1"/>
      <name val="DVOT-Surekh"/>
    </font>
    <font>
      <sz val="48"/>
      <color theme="1"/>
      <name val="Times New Roman"/>
      <family val="1"/>
    </font>
    <font>
      <b/>
      <sz val="37"/>
      <color theme="1"/>
      <name val="Arial"/>
      <family val="2"/>
    </font>
    <font>
      <b/>
      <sz val="36"/>
      <color theme="1"/>
      <name val="Times New Roman"/>
      <family val="1"/>
    </font>
    <font>
      <sz val="9"/>
      <color indexed="81"/>
      <name val="Tahoma"/>
      <family val="2"/>
    </font>
    <font>
      <b/>
      <sz val="9"/>
      <color indexed="81"/>
      <name val="Tahoma"/>
      <family val="2"/>
    </font>
    <font>
      <sz val="10"/>
      <color rgb="FF000000"/>
      <name val="DVOT-SurekhMR"/>
    </font>
    <font>
      <sz val="8"/>
      <color rgb="FF000000"/>
      <name val="Arial"/>
      <family val="2"/>
    </font>
    <font>
      <sz val="10"/>
      <color rgb="FF000000"/>
      <name val="Times New Roman"/>
      <family val="1"/>
    </font>
    <font>
      <sz val="11"/>
      <color rgb="FF000000"/>
      <name val="Times New Roman"/>
      <family val="1"/>
    </font>
    <font>
      <sz val="11"/>
      <color theme="1"/>
      <name val="Arial"/>
      <family val="2"/>
    </font>
    <font>
      <b/>
      <sz val="8"/>
      <color rgb="FF000000"/>
      <name val="Times New Roman"/>
      <family val="1"/>
    </font>
    <font>
      <b/>
      <sz val="9"/>
      <color theme="1"/>
      <name val="Arial"/>
      <family val="2"/>
    </font>
    <font>
      <b/>
      <sz val="12"/>
      <color theme="0"/>
      <name val="Arial"/>
      <family val="2"/>
    </font>
    <font>
      <b/>
      <sz val="14"/>
      <color theme="1"/>
      <name val="DVOT-SurekhMR"/>
    </font>
    <font>
      <sz val="12"/>
      <color theme="1"/>
      <name val="DVOT-SurekhMR"/>
    </font>
    <font>
      <b/>
      <sz val="12"/>
      <name val="DVOT-SurekhMR"/>
    </font>
    <font>
      <sz val="12"/>
      <name val="DVOT-SurekhMR"/>
    </font>
    <font>
      <b/>
      <sz val="14"/>
      <name val="DVOT-SurekhMR"/>
    </font>
    <font>
      <b/>
      <sz val="12"/>
      <color theme="1"/>
      <name val="DVOT-SurekhMR"/>
    </font>
    <font>
      <sz val="12"/>
      <color theme="9" tint="-0.249977111117893"/>
      <name val="Arial"/>
      <family val="2"/>
    </font>
    <font>
      <sz val="20"/>
      <color theme="1"/>
      <name val="Times New Roman"/>
      <family val="1"/>
    </font>
    <font>
      <b/>
      <sz val="20"/>
      <color theme="1"/>
      <name val="Times New Roman"/>
      <family val="1"/>
    </font>
    <font>
      <sz val="12"/>
      <color theme="0"/>
      <name val="Arial"/>
      <family val="2"/>
    </font>
    <font>
      <sz val="12"/>
      <color theme="9"/>
      <name val="Arial"/>
      <family val="2"/>
    </font>
    <font>
      <b/>
      <sz val="12"/>
      <color theme="5" tint="-0.249977111117893"/>
      <name val="Arial"/>
      <family val="2"/>
    </font>
    <font>
      <b/>
      <sz val="12"/>
      <color theme="3" tint="0.249977111117893"/>
      <name val="Arial"/>
      <family val="2"/>
    </font>
    <font>
      <sz val="11"/>
      <color theme="1"/>
      <name val="DVOT-SurekhMR"/>
    </font>
    <font>
      <sz val="11"/>
      <color rgb="FFFF0000"/>
      <name val="Times New Roman"/>
      <family val="1"/>
    </font>
    <font>
      <sz val="11"/>
      <color rgb="FFFF0000"/>
      <name val="Arial"/>
      <family val="2"/>
    </font>
    <font>
      <sz val="11"/>
      <color theme="9"/>
      <name val="Arial"/>
      <family val="2"/>
    </font>
    <font>
      <b/>
      <sz val="14"/>
      <color theme="1"/>
      <name val="DVOT-Surekh"/>
    </font>
    <font>
      <sz val="10"/>
      <color rgb="FF000000"/>
      <name val="Cambria"/>
      <family val="1"/>
    </font>
    <font>
      <sz val="9"/>
      <color rgb="FF000000"/>
      <name val="DVOT-SurekhMR"/>
    </font>
    <font>
      <b/>
      <sz val="10"/>
      <color theme="1"/>
      <name val="DVOT-SurekhMR"/>
    </font>
    <font>
      <sz val="10"/>
      <name val="DVOT-SurekhMR"/>
    </font>
    <font>
      <b/>
      <sz val="10"/>
      <color rgb="FF000000"/>
      <name val="DVOT-SurekhMR"/>
    </font>
    <font>
      <sz val="9"/>
      <color indexed="81"/>
      <name val="Tahoma"/>
    </font>
    <font>
      <b/>
      <sz val="9"/>
      <color indexed="81"/>
      <name val="Tahoma"/>
    </font>
    <font>
      <sz val="12"/>
      <color rgb="FFC00000"/>
      <name val="Arial"/>
      <family val="2"/>
    </font>
    <font>
      <sz val="11"/>
      <name val="Times New Roman"/>
      <family val="1"/>
    </font>
    <font>
      <sz val="11"/>
      <name val="Arial"/>
      <family val="2"/>
    </font>
    <font>
      <sz val="12"/>
      <color rgb="FF000000"/>
      <name val="Arial"/>
      <family val="2"/>
    </font>
    <font>
      <b/>
      <sz val="14"/>
      <name val="Arial"/>
      <family val="2"/>
    </font>
    <font>
      <sz val="10"/>
      <name val="Arial"/>
      <family val="2"/>
    </font>
    <font>
      <sz val="10"/>
      <name val="Times New Roman"/>
      <family val="1"/>
    </font>
  </fonts>
  <fills count="21">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rgb="FFFFFFCC"/>
        <bgColor indexed="64"/>
      </patternFill>
    </fill>
    <fill>
      <patternFill patternType="solid">
        <fgColor rgb="FFCCFFCC"/>
        <bgColor indexed="64"/>
      </patternFill>
    </fill>
    <fill>
      <patternFill patternType="solid">
        <fgColor rgb="FFFFCCFF"/>
        <bgColor indexed="64"/>
      </patternFill>
    </fill>
    <fill>
      <patternFill patternType="solid">
        <fgColor theme="0"/>
        <bgColor indexed="64"/>
      </patternFill>
    </fill>
    <fill>
      <patternFill patternType="solid">
        <fgColor rgb="FFFFFF00"/>
        <bgColor indexed="64"/>
      </patternFill>
    </fill>
    <fill>
      <patternFill patternType="solid">
        <fgColor rgb="FFCCECFF"/>
        <bgColor indexed="64"/>
      </patternFill>
    </fill>
    <fill>
      <patternFill patternType="solid">
        <fgColor rgb="FFEAEAEA"/>
        <bgColor indexed="64"/>
      </patternFill>
    </fill>
    <fill>
      <patternFill patternType="solid">
        <fgColor rgb="FFFFCC99"/>
        <bgColor indexed="64"/>
      </patternFill>
    </fill>
    <fill>
      <patternFill patternType="solid">
        <fgColor rgb="FF00FF00"/>
        <bgColor indexed="64"/>
      </patternFill>
    </fill>
    <fill>
      <patternFill patternType="solid">
        <fgColor theme="8" tint="-0.249977111117893"/>
        <bgColor indexed="64"/>
      </patternFill>
    </fill>
    <fill>
      <patternFill patternType="solid">
        <fgColor rgb="FFE5F2FF"/>
        <bgColor indexed="64"/>
      </patternFill>
    </fill>
    <fill>
      <patternFill patternType="solid">
        <fgColor rgb="FFFFE1FF"/>
        <bgColor indexed="64"/>
      </patternFill>
    </fill>
    <fill>
      <patternFill patternType="solid">
        <fgColor rgb="FFFFC000"/>
        <bgColor indexed="64"/>
      </patternFill>
    </fill>
    <fill>
      <patternFill patternType="solid">
        <fgColor rgb="FFFFD3A7"/>
        <bgColor indexed="64"/>
      </patternFill>
    </fill>
    <fill>
      <patternFill patternType="solid">
        <fgColor rgb="FFC0E490"/>
        <bgColor indexed="64"/>
      </patternFill>
    </fill>
    <fill>
      <patternFill patternType="solid">
        <fgColor rgb="FFD6B8D0"/>
        <bgColor indexed="64"/>
      </patternFill>
    </fill>
    <fill>
      <patternFill patternType="solid">
        <fgColor rgb="FF92D05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double">
        <color indexed="64"/>
      </right>
      <top style="medium">
        <color indexed="64"/>
      </top>
      <bottom/>
      <diagonal/>
    </border>
    <border>
      <left style="double">
        <color indexed="64"/>
      </left>
      <right style="medium">
        <color indexed="64"/>
      </right>
      <top style="medium">
        <color indexed="64"/>
      </top>
      <bottom/>
      <diagonal/>
    </border>
    <border>
      <left style="medium">
        <color indexed="64"/>
      </left>
      <right style="double">
        <color indexed="64"/>
      </right>
      <top/>
      <bottom/>
      <diagonal/>
    </border>
    <border>
      <left style="double">
        <color indexed="64"/>
      </left>
      <right style="medium">
        <color indexed="64"/>
      </right>
      <top/>
      <bottom/>
      <diagonal/>
    </border>
    <border>
      <left style="medium">
        <color indexed="64"/>
      </left>
      <right style="double">
        <color indexed="64"/>
      </right>
      <top/>
      <bottom style="medium">
        <color indexed="64"/>
      </bottom>
      <diagonal/>
    </border>
    <border>
      <left style="double">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s>
  <cellStyleXfs count="1">
    <xf numFmtId="0" fontId="0" fillId="0" borderId="0"/>
  </cellStyleXfs>
  <cellXfs count="667">
    <xf numFmtId="0" fontId="0" fillId="0" borderId="0" xfId="0"/>
    <xf numFmtId="0" fontId="2" fillId="0" borderId="0" xfId="0" applyFont="1" applyAlignment="1">
      <alignment horizontal="center"/>
    </xf>
    <xf numFmtId="0" fontId="2" fillId="0" borderId="0" xfId="0" applyFont="1"/>
    <xf numFmtId="2" fontId="3" fillId="0" borderId="0" xfId="0" applyNumberFormat="1" applyFont="1" applyAlignment="1">
      <alignment vertical="top"/>
    </xf>
    <xf numFmtId="0" fontId="3" fillId="0" borderId="0" xfId="0" applyFont="1" applyAlignment="1">
      <alignment horizontal="center" vertical="top"/>
    </xf>
    <xf numFmtId="0" fontId="3" fillId="0" borderId="0" xfId="0" applyFont="1" applyAlignment="1">
      <alignment horizontal="left" vertical="top"/>
    </xf>
    <xf numFmtId="2" fontId="3" fillId="0" borderId="0" xfId="0" applyNumberFormat="1" applyFont="1" applyAlignment="1">
      <alignment horizontal="left" vertical="top"/>
    </xf>
    <xf numFmtId="2" fontId="3" fillId="0" borderId="0" xfId="0" applyNumberFormat="1" applyFont="1" applyAlignment="1">
      <alignment horizontal="center" vertical="top"/>
    </xf>
    <xf numFmtId="2" fontId="3" fillId="0" borderId="0" xfId="0" applyNumberFormat="1" applyFont="1" applyAlignment="1">
      <alignment horizontal="center" vertical="center"/>
    </xf>
    <xf numFmtId="2" fontId="3" fillId="0" borderId="0" xfId="0" applyNumberFormat="1" applyFont="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2" fontId="3" fillId="0" borderId="0" xfId="0" applyNumberFormat="1" applyFont="1" applyAlignment="1">
      <alignment horizontal="left" vertical="center"/>
    </xf>
    <xf numFmtId="164" fontId="3" fillId="0" borderId="0" xfId="0" applyNumberFormat="1" applyFont="1" applyAlignment="1">
      <alignment horizontal="left" vertical="center"/>
    </xf>
    <xf numFmtId="0" fontId="4" fillId="0" borderId="0" xfId="0" applyFont="1" applyAlignment="1">
      <alignment horizontal="center" vertical="top"/>
    </xf>
    <xf numFmtId="0" fontId="4" fillId="0" borderId="0" xfId="0" applyFont="1" applyAlignment="1">
      <alignment horizontal="left" vertical="center"/>
    </xf>
    <xf numFmtId="0" fontId="4" fillId="0" borderId="0" xfId="0" applyFont="1" applyAlignment="1">
      <alignment horizontal="center" vertical="center"/>
    </xf>
    <xf numFmtId="0" fontId="3" fillId="0" borderId="0" xfId="0" applyFont="1" applyAlignment="1">
      <alignment vertical="center"/>
    </xf>
    <xf numFmtId="0" fontId="4" fillId="2" borderId="1" xfId="0" applyFont="1" applyFill="1" applyBorder="1" applyAlignment="1">
      <alignment horizontal="center" vertical="top" wrapText="1"/>
    </xf>
    <xf numFmtId="0" fontId="3" fillId="0" borderId="1" xfId="0" applyFont="1" applyBorder="1" applyAlignment="1">
      <alignment horizontal="center" vertical="top" wrapText="1"/>
    </xf>
    <xf numFmtId="17" fontId="3" fillId="0" borderId="1" xfId="0" applyNumberFormat="1" applyFont="1" applyBorder="1" applyAlignment="1">
      <alignment horizontal="center" vertical="top" wrapText="1"/>
    </xf>
    <xf numFmtId="0" fontId="3" fillId="0" borderId="1" xfId="0" applyFont="1" applyBorder="1" applyAlignment="1">
      <alignment horizontal="left" vertical="top" wrapText="1"/>
    </xf>
    <xf numFmtId="0" fontId="7" fillId="0" borderId="1" xfId="0" applyFont="1" applyBorder="1" applyAlignment="1">
      <alignment vertical="top" wrapText="1"/>
    </xf>
    <xf numFmtId="0" fontId="4" fillId="3" borderId="1" xfId="0" applyFont="1" applyFill="1" applyBorder="1" applyAlignment="1">
      <alignment horizontal="left" vertical="top" wrapText="1"/>
    </xf>
    <xf numFmtId="0" fontId="3" fillId="0" borderId="2" xfId="0" applyFont="1" applyBorder="1" applyAlignment="1">
      <alignment horizontal="center" vertical="top" wrapText="1"/>
    </xf>
    <xf numFmtId="14" fontId="3" fillId="0" borderId="1" xfId="0" applyNumberFormat="1" applyFont="1" applyBorder="1" applyAlignment="1">
      <alignment horizontal="center" vertical="top" wrapText="1"/>
    </xf>
    <xf numFmtId="0" fontId="4" fillId="0" borderId="2" xfId="0" applyFont="1" applyBorder="1" applyAlignment="1">
      <alignment horizontal="left" vertical="top" wrapText="1"/>
    </xf>
    <xf numFmtId="0" fontId="4" fillId="0" borderId="1" xfId="0" applyFont="1" applyBorder="1" applyAlignment="1">
      <alignment horizontal="left" vertical="top" wrapText="1"/>
    </xf>
    <xf numFmtId="0" fontId="4" fillId="2" borderId="1" xfId="0" applyFont="1" applyFill="1" applyBorder="1" applyAlignment="1">
      <alignment horizontal="left" vertical="top" wrapText="1"/>
    </xf>
    <xf numFmtId="2" fontId="3"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2" fontId="4" fillId="0" borderId="1" xfId="0" applyNumberFormat="1" applyFont="1" applyBorder="1" applyAlignment="1">
      <alignment horizontal="center" vertical="top" wrapText="1"/>
    </xf>
    <xf numFmtId="0" fontId="4" fillId="3" borderId="1" xfId="0" applyFont="1" applyFill="1" applyBorder="1" applyAlignment="1">
      <alignment horizontal="center" vertical="top" wrapText="1"/>
    </xf>
    <xf numFmtId="2" fontId="4" fillId="3" borderId="1" xfId="0" applyNumberFormat="1" applyFont="1" applyFill="1" applyBorder="1" applyAlignment="1">
      <alignment horizontal="center" vertical="top" wrapText="1"/>
    </xf>
    <xf numFmtId="0" fontId="3" fillId="3" borderId="1" xfId="0" applyFont="1" applyFill="1" applyBorder="1" applyAlignment="1">
      <alignment horizontal="left" vertical="top" wrapText="1"/>
    </xf>
    <xf numFmtId="0" fontId="3" fillId="0" borderId="0" xfId="0" applyFont="1" applyAlignment="1">
      <alignment horizontal="left" vertical="top" wrapText="1"/>
    </xf>
    <xf numFmtId="0" fontId="5" fillId="0" borderId="1" xfId="0" applyFont="1" applyBorder="1" applyAlignment="1">
      <alignment horizontal="left" vertical="top" wrapText="1"/>
    </xf>
    <xf numFmtId="0" fontId="9" fillId="0" borderId="1" xfId="0" applyFont="1" applyBorder="1" applyAlignment="1">
      <alignment horizontal="center" vertical="top" wrapText="1"/>
    </xf>
    <xf numFmtId="17" fontId="6" fillId="0" borderId="1" xfId="0" applyNumberFormat="1" applyFont="1" applyBorder="1" applyAlignment="1">
      <alignment horizontal="center" vertical="top" wrapText="1"/>
    </xf>
    <xf numFmtId="0" fontId="3" fillId="0" borderId="0" xfId="0" applyFont="1" applyAlignment="1">
      <alignment horizontal="center" vertical="top" wrapText="1"/>
    </xf>
    <xf numFmtId="2" fontId="12" fillId="3" borderId="1" xfId="0" applyNumberFormat="1" applyFont="1" applyFill="1" applyBorder="1" applyAlignment="1">
      <alignment horizontal="center" vertical="top" wrapText="1"/>
    </xf>
    <xf numFmtId="0" fontId="7" fillId="0" borderId="1" xfId="0" applyFont="1" applyBorder="1" applyAlignment="1">
      <alignment horizontal="center" vertical="top" wrapText="1"/>
    </xf>
    <xf numFmtId="14" fontId="8" fillId="0" borderId="1" xfId="0" applyNumberFormat="1" applyFont="1" applyBorder="1" applyAlignment="1">
      <alignment horizontal="center" vertical="top" wrapText="1"/>
    </xf>
    <xf numFmtId="2" fontId="6" fillId="0" borderId="3" xfId="0" applyNumberFormat="1" applyFont="1" applyBorder="1" applyAlignment="1">
      <alignment horizontal="center" vertical="top" wrapText="1"/>
    </xf>
    <xf numFmtId="2" fontId="3" fillId="0" borderId="2" xfId="0" applyNumberFormat="1" applyFont="1" applyBorder="1" applyAlignment="1">
      <alignment horizontal="center" vertical="top" wrapText="1"/>
    </xf>
    <xf numFmtId="2" fontId="3" fillId="0" borderId="3" xfId="0" applyNumberFormat="1" applyFont="1" applyBorder="1" applyAlignment="1">
      <alignment horizontal="center" vertical="top" wrapText="1"/>
    </xf>
    <xf numFmtId="0" fontId="5" fillId="0" borderId="1" xfId="0" applyFont="1" applyBorder="1" applyAlignment="1">
      <alignment horizontal="center" vertical="top" wrapText="1"/>
    </xf>
    <xf numFmtId="2" fontId="6" fillId="0" borderId="1" xfId="0" applyNumberFormat="1" applyFont="1" applyBorder="1" applyAlignment="1">
      <alignment horizontal="center" vertical="top" wrapText="1"/>
    </xf>
    <xf numFmtId="14" fontId="3" fillId="0" borderId="0" xfId="0" applyNumberFormat="1" applyFont="1" applyAlignment="1">
      <alignment horizontal="center" vertical="top" wrapText="1"/>
    </xf>
    <xf numFmtId="2" fontId="3" fillId="0" borderId="0" xfId="0" applyNumberFormat="1" applyFont="1" applyAlignment="1">
      <alignment horizontal="center" vertical="top" wrapText="1"/>
    </xf>
    <xf numFmtId="0" fontId="3" fillId="0" borderId="1" xfId="0" applyFont="1" applyBorder="1" applyAlignment="1">
      <alignment vertical="top" wrapText="1"/>
    </xf>
    <xf numFmtId="17" fontId="4" fillId="0" borderId="1" xfId="0" applyNumberFormat="1" applyFont="1" applyBorder="1" applyAlignment="1">
      <alignment horizontal="center" vertical="top" wrapText="1"/>
    </xf>
    <xf numFmtId="0" fontId="4" fillId="3" borderId="2" xfId="0" applyFont="1" applyFill="1" applyBorder="1" applyAlignment="1">
      <alignment horizontal="left" vertical="top" wrapText="1"/>
    </xf>
    <xf numFmtId="17" fontId="4" fillId="3" borderId="1" xfId="0" applyNumberFormat="1" applyFont="1" applyFill="1" applyBorder="1" applyAlignment="1">
      <alignment horizontal="center" vertical="top" wrapText="1"/>
    </xf>
    <xf numFmtId="0" fontId="4" fillId="3" borderId="5" xfId="0" applyFont="1" applyFill="1" applyBorder="1" applyAlignment="1">
      <alignment horizontal="left" vertical="top" wrapText="1"/>
    </xf>
    <xf numFmtId="2" fontId="4" fillId="0" borderId="0" xfId="0" applyNumberFormat="1" applyFont="1" applyAlignment="1">
      <alignment horizontal="center" vertical="top" wrapText="1"/>
    </xf>
    <xf numFmtId="0" fontId="3" fillId="3" borderId="1" xfId="0" applyFont="1" applyFill="1" applyBorder="1" applyAlignment="1">
      <alignment horizontal="center" vertical="top"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2" fontId="4" fillId="0" borderId="1" xfId="0" applyNumberFormat="1" applyFont="1" applyBorder="1" applyAlignment="1">
      <alignment horizontal="center" vertical="center" wrapText="1"/>
    </xf>
    <xf numFmtId="0" fontId="5" fillId="0" borderId="1" xfId="0" applyFont="1" applyBorder="1" applyAlignment="1">
      <alignment horizontal="left" vertical="center" wrapText="1"/>
    </xf>
    <xf numFmtId="17" fontId="6" fillId="0" borderId="1" xfId="0" applyNumberFormat="1" applyFont="1" applyBorder="1" applyAlignment="1">
      <alignment horizontal="center" vertical="center" wrapText="1"/>
    </xf>
    <xf numFmtId="17" fontId="4" fillId="0" borderId="1" xfId="0" applyNumberFormat="1" applyFont="1" applyBorder="1" applyAlignment="1">
      <alignment horizontal="center" vertical="center" wrapText="1"/>
    </xf>
    <xf numFmtId="0" fontId="3" fillId="0" borderId="1" xfId="0" applyFont="1" applyBorder="1" applyAlignment="1">
      <alignment vertical="center" wrapText="1"/>
    </xf>
    <xf numFmtId="2" fontId="4" fillId="0" borderId="1" xfId="0" applyNumberFormat="1" applyFont="1" applyBorder="1" applyAlignment="1">
      <alignment horizontal="right" vertical="center" wrapText="1"/>
    </xf>
    <xf numFmtId="2" fontId="4" fillId="3" borderId="1" xfId="0" applyNumberFormat="1" applyFont="1" applyFill="1" applyBorder="1" applyAlignment="1">
      <alignment horizontal="right" vertical="top" wrapText="1"/>
    </xf>
    <xf numFmtId="1" fontId="3" fillId="0" borderId="1" xfId="0" applyNumberFormat="1" applyFont="1" applyBorder="1" applyAlignment="1">
      <alignment horizontal="right" vertical="center"/>
    </xf>
    <xf numFmtId="1" fontId="4" fillId="0" borderId="1" xfId="0" applyNumberFormat="1" applyFont="1" applyBorder="1" applyAlignment="1">
      <alignment horizontal="right" vertical="center" wrapText="1"/>
    </xf>
    <xf numFmtId="1" fontId="6" fillId="0" borderId="1" xfId="0" applyNumberFormat="1" applyFont="1" applyBorder="1" applyAlignment="1">
      <alignment horizontal="right" vertical="center" wrapText="1"/>
    </xf>
    <xf numFmtId="1" fontId="3" fillId="0" borderId="1" xfId="0" applyNumberFormat="1" applyFont="1" applyBorder="1" applyAlignment="1">
      <alignment horizontal="right" vertical="center" wrapText="1"/>
    </xf>
    <xf numFmtId="1" fontId="4" fillId="3" borderId="1" xfId="0" applyNumberFormat="1" applyFont="1" applyFill="1" applyBorder="1" applyAlignment="1">
      <alignment horizontal="right" vertical="top" wrapText="1"/>
    </xf>
    <xf numFmtId="1" fontId="4" fillId="0" borderId="1" xfId="0" applyNumberFormat="1" applyFont="1" applyBorder="1" applyAlignment="1">
      <alignment horizontal="right" vertical="top" wrapText="1"/>
    </xf>
    <xf numFmtId="0" fontId="3" fillId="0" borderId="1" xfId="0" applyFont="1" applyBorder="1" applyAlignment="1">
      <alignment horizontal="right" vertical="center"/>
    </xf>
    <xf numFmtId="0" fontId="3" fillId="3" borderId="1" xfId="0" applyFont="1" applyFill="1" applyBorder="1" applyAlignment="1">
      <alignment horizontal="right" vertical="center"/>
    </xf>
    <xf numFmtId="0" fontId="4" fillId="0" borderId="1" xfId="0" applyFont="1" applyBorder="1" applyAlignment="1">
      <alignment horizontal="right" vertical="center"/>
    </xf>
    <xf numFmtId="1" fontId="4" fillId="0" borderId="1" xfId="0" applyNumberFormat="1" applyFont="1" applyBorder="1" applyAlignment="1">
      <alignment horizontal="right" vertical="center"/>
    </xf>
    <xf numFmtId="0" fontId="4" fillId="3" borderId="1" xfId="0" applyFont="1" applyFill="1" applyBorder="1" applyAlignment="1">
      <alignment horizontal="right" vertical="center"/>
    </xf>
    <xf numFmtId="0" fontId="7" fillId="0" borderId="1" xfId="0" applyFont="1" applyBorder="1" applyAlignment="1">
      <alignment horizontal="center" vertical="center" wrapText="1"/>
    </xf>
    <xf numFmtId="0" fontId="3" fillId="0" borderId="1" xfId="0" applyFont="1" applyBorder="1" applyAlignment="1">
      <alignment horizontal="left" vertical="top"/>
    </xf>
    <xf numFmtId="0" fontId="3" fillId="0" borderId="1" xfId="0" applyFont="1" applyBorder="1" applyAlignment="1">
      <alignment horizontal="center" vertical="top"/>
    </xf>
    <xf numFmtId="0" fontId="3" fillId="0" borderId="1" xfId="0" applyFont="1" applyBorder="1" applyAlignment="1">
      <alignment horizontal="right" vertical="top"/>
    </xf>
    <xf numFmtId="0" fontId="3" fillId="0" borderId="1" xfId="0" applyFont="1" applyBorder="1" applyAlignment="1">
      <alignment vertical="top"/>
    </xf>
    <xf numFmtId="0" fontId="3" fillId="0" borderId="5" xfId="0" applyFont="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4" fillId="0" borderId="1" xfId="0" applyFont="1" applyBorder="1" applyAlignment="1">
      <alignment horizontal="left" vertical="center"/>
    </xf>
    <xf numFmtId="0" fontId="6" fillId="0" borderId="1" xfId="0" applyFont="1" applyBorder="1" applyAlignment="1">
      <alignment horizontal="center" vertical="center" wrapText="1"/>
    </xf>
    <xf numFmtId="1" fontId="6" fillId="0" borderId="1" xfId="0" applyNumberFormat="1" applyFont="1" applyBorder="1" applyAlignment="1">
      <alignment horizontal="right" vertical="center"/>
    </xf>
    <xf numFmtId="0" fontId="6" fillId="0" borderId="1" xfId="0" applyFont="1" applyBorder="1" applyAlignment="1">
      <alignment horizontal="right" vertical="center"/>
    </xf>
    <xf numFmtId="14" fontId="6" fillId="0" borderId="1" xfId="0" applyNumberFormat="1" applyFont="1" applyBorder="1" applyAlignment="1">
      <alignment horizontal="center"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17" fontId="4" fillId="0" borderId="5" xfId="0" applyNumberFormat="1" applyFont="1" applyBorder="1" applyAlignment="1">
      <alignment horizontal="center" vertical="center" wrapText="1"/>
    </xf>
    <xf numFmtId="1" fontId="4" fillId="0" borderId="5" xfId="0" applyNumberFormat="1" applyFont="1" applyBorder="1" applyAlignment="1">
      <alignment horizontal="right" vertical="center" wrapText="1"/>
    </xf>
    <xf numFmtId="1" fontId="4" fillId="0" borderId="5" xfId="0" applyNumberFormat="1" applyFont="1" applyBorder="1" applyAlignment="1">
      <alignment horizontal="right" vertical="center"/>
    </xf>
    <xf numFmtId="0" fontId="3" fillId="0" borderId="7" xfId="0" applyFont="1" applyBorder="1" applyAlignment="1">
      <alignment horizontal="left" vertical="top"/>
    </xf>
    <xf numFmtId="0" fontId="3" fillId="0" borderId="7" xfId="0" applyFont="1" applyBorder="1" applyAlignment="1">
      <alignment horizontal="center" vertical="top"/>
    </xf>
    <xf numFmtId="0" fontId="3" fillId="0" borderId="7" xfId="0" applyFont="1" applyBorder="1" applyAlignment="1">
      <alignment vertical="top"/>
    </xf>
    <xf numFmtId="0" fontId="3" fillId="0" borderId="9" xfId="0" applyFont="1" applyBorder="1" applyAlignment="1">
      <alignment horizontal="center" vertical="center" wrapText="1"/>
    </xf>
    <xf numFmtId="0" fontId="3" fillId="0" borderId="10" xfId="0" applyFont="1" applyBorder="1" applyAlignment="1">
      <alignment horizontal="left" vertical="center" wrapText="1"/>
    </xf>
    <xf numFmtId="0" fontId="4" fillId="0" borderId="10" xfId="0" applyFont="1" applyBorder="1" applyAlignment="1">
      <alignment horizontal="center" vertical="center" wrapText="1"/>
    </xf>
    <xf numFmtId="0" fontId="3" fillId="0" borderId="11" xfId="0" applyFont="1" applyBorder="1" applyAlignment="1">
      <alignment horizontal="left" vertical="top"/>
    </xf>
    <xf numFmtId="0" fontId="3" fillId="0" borderId="10" xfId="0" applyFont="1" applyBorder="1" applyAlignment="1">
      <alignment horizontal="center" vertical="center" wrapText="1"/>
    </xf>
    <xf numFmtId="1" fontId="1" fillId="0" borderId="10" xfId="0" applyNumberFormat="1" applyFont="1" applyBorder="1" applyAlignment="1">
      <alignment horizontal="right" vertical="center" wrapText="1"/>
    </xf>
    <xf numFmtId="1" fontId="3" fillId="0" borderId="1" xfId="0" applyNumberFormat="1" applyFont="1" applyBorder="1" applyAlignment="1">
      <alignment horizontal="left" vertical="top"/>
    </xf>
    <xf numFmtId="0" fontId="4" fillId="0" borderId="1" xfId="0" applyFont="1" applyBorder="1" applyAlignment="1">
      <alignment vertical="top" wrapText="1"/>
    </xf>
    <xf numFmtId="0" fontId="4" fillId="0" borderId="1" xfId="0" applyFont="1" applyBorder="1" applyAlignment="1">
      <alignment horizontal="center" vertical="top"/>
    </xf>
    <xf numFmtId="1" fontId="3" fillId="0" borderId="5" xfId="0" applyNumberFormat="1" applyFont="1" applyBorder="1" applyAlignment="1">
      <alignment horizontal="left" vertical="top"/>
    </xf>
    <xf numFmtId="0" fontId="3" fillId="0" borderId="12" xfId="0" applyFont="1" applyBorder="1" applyAlignment="1">
      <alignment horizontal="center" vertical="center" wrapText="1"/>
    </xf>
    <xf numFmtId="0" fontId="3" fillId="0" borderId="13" xfId="0" applyFont="1" applyBorder="1" applyAlignment="1">
      <alignment horizontal="left" vertical="center" wrapText="1"/>
    </xf>
    <xf numFmtId="0" fontId="4" fillId="0" borderId="13" xfId="0" applyFont="1" applyBorder="1" applyAlignment="1">
      <alignment horizontal="center" vertical="center" wrapText="1"/>
    </xf>
    <xf numFmtId="0" fontId="3" fillId="0" borderId="14" xfId="0" applyFont="1" applyBorder="1" applyAlignment="1">
      <alignment horizontal="left" vertical="top"/>
    </xf>
    <xf numFmtId="0" fontId="3" fillId="0" borderId="13" xfId="0" applyFont="1" applyBorder="1" applyAlignment="1">
      <alignment horizontal="center" vertical="center" wrapText="1"/>
    </xf>
    <xf numFmtId="1" fontId="1" fillId="0" borderId="13" xfId="0" applyNumberFormat="1" applyFont="1" applyBorder="1" applyAlignment="1">
      <alignment horizontal="right" vertical="center" wrapText="1"/>
    </xf>
    <xf numFmtId="0" fontId="3" fillId="0" borderId="15" xfId="0" applyFont="1" applyBorder="1" applyAlignment="1">
      <alignment horizontal="left" vertical="center" wrapText="1"/>
    </xf>
    <xf numFmtId="1" fontId="3" fillId="0" borderId="13" xfId="0" applyNumberFormat="1" applyFont="1" applyBorder="1" applyAlignment="1">
      <alignment horizontal="left" vertical="top"/>
    </xf>
    <xf numFmtId="14" fontId="3" fillId="0" borderId="5" xfId="0" applyNumberFormat="1" applyFont="1" applyBorder="1" applyAlignment="1">
      <alignment horizontal="center" vertical="top" wrapText="1"/>
    </xf>
    <xf numFmtId="1" fontId="4" fillId="0" borderId="5" xfId="0" applyNumberFormat="1" applyFont="1" applyBorder="1" applyAlignment="1">
      <alignment horizontal="right" vertical="top" wrapText="1"/>
    </xf>
    <xf numFmtId="2" fontId="3" fillId="0" borderId="5" xfId="0" applyNumberFormat="1" applyFont="1" applyBorder="1" applyAlignment="1">
      <alignment horizontal="center" vertical="top" wrapText="1"/>
    </xf>
    <xf numFmtId="2" fontId="4" fillId="0" borderId="5" xfId="0" applyNumberFormat="1" applyFont="1" applyBorder="1" applyAlignment="1">
      <alignment horizontal="center" vertical="top" wrapText="1"/>
    </xf>
    <xf numFmtId="0" fontId="4" fillId="0" borderId="9" xfId="0" applyFont="1" applyBorder="1" applyAlignment="1">
      <alignment horizontal="center" vertical="top" wrapText="1"/>
    </xf>
    <xf numFmtId="0" fontId="1" fillId="0" borderId="10" xfId="0" applyFont="1" applyBorder="1" applyAlignment="1">
      <alignment horizontal="left" vertical="top" wrapText="1"/>
    </xf>
    <xf numFmtId="0" fontId="2" fillId="0" borderId="10" xfId="0" applyFont="1" applyBorder="1" applyAlignment="1">
      <alignment horizontal="center" vertical="top" wrapText="1"/>
    </xf>
    <xf numFmtId="14" fontId="2" fillId="0" borderId="10" xfId="0" applyNumberFormat="1" applyFont="1" applyBorder="1" applyAlignment="1">
      <alignment horizontal="center" vertical="top" wrapText="1"/>
    </xf>
    <xf numFmtId="17" fontId="1" fillId="0" borderId="10" xfId="0" applyNumberFormat="1" applyFont="1" applyBorder="1" applyAlignment="1">
      <alignment horizontal="center" vertical="center" wrapText="1"/>
    </xf>
    <xf numFmtId="1" fontId="1" fillId="0" borderId="10" xfId="0" applyNumberFormat="1" applyFont="1" applyBorder="1" applyAlignment="1">
      <alignment horizontal="right" vertical="top" wrapText="1"/>
    </xf>
    <xf numFmtId="2" fontId="2" fillId="0" borderId="10" xfId="0" applyNumberFormat="1" applyFont="1" applyBorder="1" applyAlignment="1">
      <alignment horizontal="center" vertical="top" wrapText="1"/>
    </xf>
    <xf numFmtId="2" fontId="1" fillId="0" borderId="10" xfId="0" applyNumberFormat="1" applyFont="1" applyBorder="1" applyAlignment="1">
      <alignment horizontal="center" vertical="top" wrapText="1"/>
    </xf>
    <xf numFmtId="1" fontId="1" fillId="0" borderId="19" xfId="0" applyNumberFormat="1" applyFont="1" applyBorder="1" applyAlignment="1">
      <alignment horizontal="right" vertical="top" wrapText="1"/>
    </xf>
    <xf numFmtId="3" fontId="14" fillId="0" borderId="16" xfId="0" applyNumberFormat="1" applyFont="1" applyBorder="1" applyAlignment="1">
      <alignment horizontal="right" vertical="center" wrapText="1"/>
    </xf>
    <xf numFmtId="3" fontId="14" fillId="0" borderId="18" xfId="0" applyNumberFormat="1" applyFont="1" applyBorder="1" applyAlignment="1">
      <alignment horizontal="right" vertical="center" wrapText="1"/>
    </xf>
    <xf numFmtId="3" fontId="3" fillId="0" borderId="0" xfId="0" applyNumberFormat="1" applyFont="1" applyAlignment="1">
      <alignment horizontal="left" vertical="top"/>
    </xf>
    <xf numFmtId="1" fontId="3" fillId="0" borderId="0" xfId="0" applyNumberFormat="1" applyFont="1" applyAlignment="1">
      <alignment vertical="center"/>
    </xf>
    <xf numFmtId="0" fontId="4" fillId="0" borderId="5" xfId="0" applyFont="1" applyBorder="1" applyAlignment="1">
      <alignment horizontal="center" vertical="top"/>
    </xf>
    <xf numFmtId="1" fontId="4" fillId="0" borderId="1" xfId="0" applyNumberFormat="1" applyFont="1" applyBorder="1" applyAlignment="1">
      <alignment horizontal="center" vertical="top"/>
    </xf>
    <xf numFmtId="0" fontId="4" fillId="0" borderId="1" xfId="0" applyFont="1" applyBorder="1" applyAlignment="1">
      <alignment vertical="top"/>
    </xf>
    <xf numFmtId="0" fontId="3"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0" xfId="0" applyFont="1" applyFill="1" applyAlignment="1">
      <alignment horizontal="left" vertical="center"/>
    </xf>
    <xf numFmtId="1" fontId="4" fillId="7" borderId="1" xfId="0" applyNumberFormat="1" applyFont="1" applyFill="1" applyBorder="1" applyAlignment="1">
      <alignment horizontal="right" vertical="center" wrapText="1"/>
    </xf>
    <xf numFmtId="2" fontId="4"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1" fontId="4" fillId="7" borderId="1" xfId="0" applyNumberFormat="1" applyFont="1" applyFill="1" applyBorder="1" applyAlignment="1">
      <alignment horizontal="center" vertical="center" wrapText="1"/>
    </xf>
    <xf numFmtId="0" fontId="3" fillId="5" borderId="1" xfId="0" applyFont="1" applyFill="1" applyBorder="1" applyAlignment="1">
      <alignment horizontal="center" vertical="top"/>
    </xf>
    <xf numFmtId="0" fontId="6" fillId="8" borderId="1" xfId="0" applyFont="1" applyFill="1" applyBorder="1" applyAlignment="1">
      <alignment horizontal="center" vertical="center" wrapText="1"/>
    </xf>
    <xf numFmtId="17" fontId="3" fillId="8" borderId="1" xfId="0" applyNumberFormat="1" applyFont="1" applyFill="1" applyBorder="1" applyAlignment="1">
      <alignment horizontal="center" vertical="center" wrapText="1"/>
    </xf>
    <xf numFmtId="2" fontId="3" fillId="8" borderId="1" xfId="0" applyNumberFormat="1" applyFont="1" applyFill="1" applyBorder="1" applyAlignment="1">
      <alignment horizontal="center" vertical="center" wrapText="1"/>
    </xf>
    <xf numFmtId="0" fontId="3" fillId="8" borderId="1" xfId="0" applyFont="1" applyFill="1" applyBorder="1" applyAlignment="1">
      <alignment horizontal="right" vertical="center"/>
    </xf>
    <xf numFmtId="0" fontId="3" fillId="4" borderId="1" xfId="0" applyFont="1" applyFill="1" applyBorder="1" applyAlignment="1">
      <alignment horizontal="left" vertical="top"/>
    </xf>
    <xf numFmtId="0" fontId="3" fillId="5" borderId="1" xfId="0" applyFont="1" applyFill="1" applyBorder="1" applyAlignment="1">
      <alignment horizontal="left" vertical="top"/>
    </xf>
    <xf numFmtId="0" fontId="3" fillId="4" borderId="1" xfId="0" applyFont="1" applyFill="1" applyBorder="1" applyAlignment="1">
      <alignment horizontal="right" vertical="top"/>
    </xf>
    <xf numFmtId="1" fontId="3" fillId="0" borderId="1" xfId="0" applyNumberFormat="1" applyFont="1" applyBorder="1" applyAlignment="1">
      <alignment horizontal="right" vertical="top"/>
    </xf>
    <xf numFmtId="1" fontId="3" fillId="6" borderId="1" xfId="0" applyNumberFormat="1" applyFont="1" applyFill="1" applyBorder="1" applyAlignment="1">
      <alignment horizontal="right" vertical="top"/>
    </xf>
    <xf numFmtId="1" fontId="3" fillId="4" borderId="1" xfId="0" applyNumberFormat="1" applyFont="1" applyFill="1" applyBorder="1" applyAlignment="1">
      <alignment horizontal="right" vertical="top"/>
    </xf>
    <xf numFmtId="0" fontId="3" fillId="5" borderId="1" xfId="0" applyFont="1" applyFill="1" applyBorder="1" applyAlignment="1">
      <alignment horizontal="right" vertical="top"/>
    </xf>
    <xf numFmtId="1" fontId="3" fillId="5" borderId="1" xfId="0" applyNumberFormat="1" applyFont="1" applyFill="1" applyBorder="1" applyAlignment="1">
      <alignment horizontal="right" vertical="top"/>
    </xf>
    <xf numFmtId="1" fontId="3" fillId="9" borderId="1" xfId="0" applyNumberFormat="1" applyFont="1" applyFill="1" applyBorder="1" applyAlignment="1">
      <alignment horizontal="right" vertical="top"/>
    </xf>
    <xf numFmtId="0" fontId="3" fillId="10" borderId="1" xfId="0" applyFont="1" applyFill="1" applyBorder="1" applyAlignment="1">
      <alignment horizontal="center" vertical="top"/>
    </xf>
    <xf numFmtId="0" fontId="13" fillId="0" borderId="5" xfId="0" applyFont="1" applyBorder="1" applyAlignment="1">
      <alignment horizontal="left" vertical="top"/>
    </xf>
    <xf numFmtId="0" fontId="16" fillId="0" borderId="1" xfId="0" applyFont="1" applyBorder="1" applyAlignment="1">
      <alignment horizontal="left" vertical="top" wrapText="1"/>
    </xf>
    <xf numFmtId="0" fontId="16" fillId="0" borderId="1" xfId="0" applyFont="1" applyBorder="1" applyAlignment="1">
      <alignment horizontal="center" vertical="top" wrapText="1"/>
    </xf>
    <xf numFmtId="1" fontId="16" fillId="0" borderId="1" xfId="0" applyNumberFormat="1" applyFont="1" applyBorder="1" applyAlignment="1">
      <alignment horizontal="center" vertical="top" wrapText="1"/>
    </xf>
    <xf numFmtId="0" fontId="13" fillId="0" borderId="1" xfId="0" applyFont="1" applyBorder="1" applyAlignment="1">
      <alignment horizontal="left" vertical="top"/>
    </xf>
    <xf numFmtId="0" fontId="12" fillId="4" borderId="1" xfId="0" applyFont="1" applyFill="1" applyBorder="1" applyAlignment="1">
      <alignment horizontal="right" vertical="top"/>
    </xf>
    <xf numFmtId="0" fontId="12" fillId="0" borderId="1" xfId="0" applyFont="1" applyBorder="1" applyAlignment="1">
      <alignment horizontal="right" vertical="top"/>
    </xf>
    <xf numFmtId="0" fontId="15" fillId="0" borderId="0" xfId="0" applyFont="1"/>
    <xf numFmtId="0" fontId="18" fillId="0" borderId="1" xfId="0" applyFont="1" applyBorder="1" applyAlignment="1">
      <alignment horizontal="right" vertical="top" wrapText="1"/>
    </xf>
    <xf numFmtId="14" fontId="6" fillId="8" borderId="1" xfId="0" applyNumberFormat="1" applyFont="1" applyFill="1" applyBorder="1" applyAlignment="1">
      <alignment horizontal="center" vertical="center" wrapText="1"/>
    </xf>
    <xf numFmtId="1" fontId="3" fillId="8" borderId="1" xfId="0" applyNumberFormat="1" applyFont="1" applyFill="1" applyBorder="1" applyAlignment="1">
      <alignment horizontal="right" vertical="center" wrapText="1"/>
    </xf>
    <xf numFmtId="1" fontId="6" fillId="8" borderId="1" xfId="0" applyNumberFormat="1" applyFont="1" applyFill="1" applyBorder="1" applyAlignment="1">
      <alignment horizontal="right" vertical="center" wrapText="1"/>
    </xf>
    <xf numFmtId="17" fontId="6" fillId="8" borderId="1" xfId="0" applyNumberFormat="1" applyFont="1" applyFill="1" applyBorder="1" applyAlignment="1">
      <alignment horizontal="center" vertical="center" wrapText="1"/>
    </xf>
    <xf numFmtId="0" fontId="12" fillId="8" borderId="1" xfId="0" applyFont="1" applyFill="1" applyBorder="1" applyAlignment="1">
      <alignment horizontal="center" vertical="center" wrapText="1"/>
    </xf>
    <xf numFmtId="17" fontId="12" fillId="8" borderId="1" xfId="0" applyNumberFormat="1" applyFont="1" applyFill="1" applyBorder="1" applyAlignment="1">
      <alignment horizontal="center" vertical="center" wrapText="1"/>
    </xf>
    <xf numFmtId="1" fontId="12" fillId="8" borderId="1" xfId="0" applyNumberFormat="1" applyFont="1" applyFill="1" applyBorder="1" applyAlignment="1">
      <alignment horizontal="right" vertical="center"/>
    </xf>
    <xf numFmtId="2" fontId="12" fillId="8" borderId="1" xfId="0" applyNumberFormat="1" applyFont="1" applyFill="1" applyBorder="1" applyAlignment="1">
      <alignment horizontal="center" vertical="center" wrapText="1"/>
    </xf>
    <xf numFmtId="0" fontId="12" fillId="8" borderId="1" xfId="0" applyFont="1" applyFill="1" applyBorder="1" applyAlignment="1">
      <alignment horizontal="right" vertical="center"/>
    </xf>
    <xf numFmtId="0" fontId="4" fillId="5" borderId="1" xfId="0" applyFont="1" applyFill="1" applyBorder="1" applyAlignment="1">
      <alignment horizontal="right" vertical="top"/>
    </xf>
    <xf numFmtId="1" fontId="4" fillId="5" borderId="1" xfId="0" applyNumberFormat="1" applyFont="1" applyFill="1" applyBorder="1" applyAlignment="1">
      <alignment horizontal="right" vertical="top"/>
    </xf>
    <xf numFmtId="0" fontId="4" fillId="0" borderId="7" xfId="0" applyFont="1" applyBorder="1" applyAlignment="1">
      <alignment horizontal="left" vertical="top" wrapText="1"/>
    </xf>
    <xf numFmtId="0" fontId="3" fillId="4" borderId="1" xfId="0" applyFont="1" applyFill="1" applyBorder="1" applyAlignment="1">
      <alignment horizontal="center" vertical="center" wrapText="1"/>
    </xf>
    <xf numFmtId="0" fontId="4" fillId="0" borderId="5" xfId="0" applyFont="1" applyBorder="1" applyAlignment="1">
      <alignment horizontal="center" vertical="top" wrapText="1"/>
    </xf>
    <xf numFmtId="0" fontId="4" fillId="0" borderId="7" xfId="0" applyFont="1" applyBorder="1" applyAlignment="1">
      <alignment horizontal="center" vertical="top" wrapText="1"/>
    </xf>
    <xf numFmtId="0" fontId="3" fillId="0" borderId="5" xfId="0" applyFont="1" applyBorder="1" applyAlignment="1">
      <alignment horizontal="center" vertical="top" wrapText="1"/>
    </xf>
    <xf numFmtId="0" fontId="4" fillId="0" borderId="5" xfId="0" applyFont="1" applyBorder="1" applyAlignment="1">
      <alignment horizontal="left" vertical="top" wrapText="1"/>
    </xf>
    <xf numFmtId="0" fontId="3" fillId="11" borderId="1" xfId="0" applyFont="1" applyFill="1" applyBorder="1" applyAlignment="1">
      <alignment horizontal="center" vertical="center" wrapText="1"/>
    </xf>
    <xf numFmtId="2" fontId="3" fillId="11" borderId="1" xfId="0" applyNumberFormat="1" applyFont="1" applyFill="1" applyBorder="1" applyAlignment="1">
      <alignment horizontal="center" vertical="center" wrapText="1"/>
    </xf>
    <xf numFmtId="0" fontId="4" fillId="11" borderId="1" xfId="0" applyFont="1" applyFill="1" applyBorder="1" applyAlignment="1">
      <alignment horizontal="center" vertical="center" wrapText="1"/>
    </xf>
    <xf numFmtId="1" fontId="4" fillId="11"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17" fontId="3" fillId="5" borderId="1" xfId="0" applyNumberFormat="1" applyFont="1" applyFill="1" applyBorder="1" applyAlignment="1">
      <alignment horizontal="center" vertical="center" wrapText="1"/>
    </xf>
    <xf numFmtId="1" fontId="3" fillId="5" borderId="1" xfId="0" applyNumberFormat="1" applyFont="1" applyFill="1" applyBorder="1" applyAlignment="1">
      <alignment horizontal="right" vertical="center" wrapText="1"/>
    </xf>
    <xf numFmtId="2" fontId="3" fillId="5" borderId="1" xfId="0" applyNumberFormat="1" applyFont="1" applyFill="1" applyBorder="1" applyAlignment="1">
      <alignment horizontal="center" vertical="center" wrapText="1"/>
    </xf>
    <xf numFmtId="0" fontId="3" fillId="5" borderId="1" xfId="0" applyFont="1" applyFill="1" applyBorder="1" applyAlignment="1">
      <alignment horizontal="right" vertical="center"/>
    </xf>
    <xf numFmtId="14" fontId="3" fillId="5" borderId="1" xfId="0" applyNumberFormat="1" applyFont="1" applyFill="1" applyBorder="1" applyAlignment="1">
      <alignment horizontal="center" vertical="center" wrapText="1"/>
    </xf>
    <xf numFmtId="0" fontId="3" fillId="5" borderId="1" xfId="0" applyFont="1" applyFill="1" applyBorder="1" applyAlignment="1">
      <alignment horizontal="right" vertical="center" wrapText="1"/>
    </xf>
    <xf numFmtId="0" fontId="3" fillId="5" borderId="1" xfId="0" applyFont="1" applyFill="1" applyBorder="1" applyAlignment="1">
      <alignment horizontal="left" vertical="center" wrapText="1"/>
    </xf>
    <xf numFmtId="0" fontId="13"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14" fontId="6" fillId="5" borderId="1" xfId="0" applyNumberFormat="1" applyFont="1" applyFill="1" applyBorder="1" applyAlignment="1">
      <alignment horizontal="center" vertical="center" wrapText="1"/>
    </xf>
    <xf numFmtId="17" fontId="6" fillId="5" borderId="1" xfId="0" applyNumberFormat="1" applyFont="1" applyFill="1" applyBorder="1" applyAlignment="1">
      <alignment horizontal="center" vertical="center" wrapText="1"/>
    </xf>
    <xf numFmtId="1" fontId="6" fillId="5" borderId="1" xfId="0" applyNumberFormat="1" applyFont="1" applyFill="1" applyBorder="1" applyAlignment="1">
      <alignment horizontal="right" vertical="center" wrapText="1"/>
    </xf>
    <xf numFmtId="0" fontId="3" fillId="5" borderId="0" xfId="0" applyFont="1" applyFill="1" applyAlignment="1">
      <alignment horizontal="left" vertical="center"/>
    </xf>
    <xf numFmtId="0" fontId="3" fillId="5" borderId="1" xfId="0" applyFont="1" applyFill="1" applyBorder="1" applyAlignment="1">
      <alignment horizontal="center" vertical="top" wrapText="1"/>
    </xf>
    <xf numFmtId="14" fontId="3" fillId="5" borderId="1" xfId="0" applyNumberFormat="1" applyFont="1" applyFill="1" applyBorder="1" applyAlignment="1">
      <alignment horizontal="center" vertical="top" wrapText="1"/>
    </xf>
    <xf numFmtId="1" fontId="3" fillId="5" borderId="1" xfId="0" applyNumberFormat="1" applyFont="1" applyFill="1" applyBorder="1" applyAlignment="1">
      <alignment horizontal="right" vertical="top" wrapText="1"/>
    </xf>
    <xf numFmtId="2" fontId="3" fillId="5" borderId="1" xfId="0" applyNumberFormat="1" applyFont="1" applyFill="1" applyBorder="1" applyAlignment="1">
      <alignment horizontal="center" vertical="top" wrapText="1"/>
    </xf>
    <xf numFmtId="0" fontId="4" fillId="5" borderId="7" xfId="0" applyFont="1" applyFill="1" applyBorder="1" applyAlignment="1">
      <alignment horizontal="left" vertical="top" wrapText="1"/>
    </xf>
    <xf numFmtId="17" fontId="3" fillId="5" borderId="7" xfId="0" applyNumberFormat="1" applyFont="1" applyFill="1" applyBorder="1" applyAlignment="1">
      <alignment horizontal="center" vertical="center" wrapText="1"/>
    </xf>
    <xf numFmtId="1" fontId="3" fillId="5" borderId="7" xfId="0" applyNumberFormat="1" applyFont="1" applyFill="1" applyBorder="1" applyAlignment="1">
      <alignment horizontal="right" vertical="center" wrapText="1"/>
    </xf>
    <xf numFmtId="2" fontId="3" fillId="5" borderId="7" xfId="0" applyNumberFormat="1" applyFont="1" applyFill="1" applyBorder="1" applyAlignment="1">
      <alignment horizontal="center" vertical="center" wrapText="1"/>
    </xf>
    <xf numFmtId="0" fontId="3" fillId="5" borderId="7" xfId="0" applyFont="1" applyFill="1" applyBorder="1" applyAlignment="1">
      <alignment horizontal="right" vertical="center"/>
    </xf>
    <xf numFmtId="0" fontId="3" fillId="5" borderId="7" xfId="0" applyFont="1" applyFill="1" applyBorder="1" applyAlignment="1">
      <alignment horizontal="left" vertical="top"/>
    </xf>
    <xf numFmtId="0" fontId="3" fillId="5" borderId="7" xfId="0" applyFont="1" applyFill="1" applyBorder="1" applyAlignment="1">
      <alignment horizontal="center" vertical="top"/>
    </xf>
    <xf numFmtId="0" fontId="4" fillId="5" borderId="7" xfId="0" applyFont="1" applyFill="1" applyBorder="1" applyAlignment="1">
      <alignment vertical="top"/>
    </xf>
    <xf numFmtId="0" fontId="3" fillId="5" borderId="1" xfId="0" applyFont="1" applyFill="1" applyBorder="1" applyAlignment="1">
      <alignment vertical="top"/>
    </xf>
    <xf numFmtId="0" fontId="4" fillId="5" borderId="1" xfId="0" applyFont="1" applyFill="1" applyBorder="1" applyAlignment="1">
      <alignment horizontal="left" vertical="center"/>
    </xf>
    <xf numFmtId="17" fontId="3" fillId="9" borderId="1" xfId="0" applyNumberFormat="1" applyFont="1" applyFill="1" applyBorder="1" applyAlignment="1">
      <alignment horizontal="center" vertical="center" wrapText="1"/>
    </xf>
    <xf numFmtId="1" fontId="3" fillId="9" borderId="1" xfId="0" applyNumberFormat="1" applyFont="1" applyFill="1" applyBorder="1" applyAlignment="1">
      <alignment horizontal="right" vertical="center" wrapText="1"/>
    </xf>
    <xf numFmtId="2" fontId="3" fillId="9" borderId="1" xfId="0" applyNumberFormat="1" applyFont="1" applyFill="1" applyBorder="1" applyAlignment="1">
      <alignment horizontal="center" vertical="center" wrapText="1"/>
    </xf>
    <xf numFmtId="1" fontId="6" fillId="9" borderId="1" xfId="0" applyNumberFormat="1" applyFont="1" applyFill="1" applyBorder="1" applyAlignment="1">
      <alignment horizontal="right" vertical="center" wrapText="1"/>
    </xf>
    <xf numFmtId="0" fontId="20" fillId="4" borderId="1" xfId="0" applyFont="1" applyFill="1" applyBorder="1" applyAlignment="1">
      <alignment horizontal="center" vertical="center" wrapText="1"/>
    </xf>
    <xf numFmtId="17" fontId="3" fillId="7" borderId="1" xfId="0" applyNumberFormat="1" applyFont="1" applyFill="1" applyBorder="1" applyAlignment="1">
      <alignment horizontal="center" vertical="center" wrapText="1"/>
    </xf>
    <xf numFmtId="0" fontId="12" fillId="4" borderId="1" xfId="0" applyFont="1" applyFill="1" applyBorder="1" applyAlignment="1">
      <alignment horizontal="right" vertical="center"/>
    </xf>
    <xf numFmtId="0" fontId="4" fillId="5" borderId="1" xfId="0" applyFont="1" applyFill="1" applyBorder="1" applyAlignment="1">
      <alignment horizontal="left" vertical="top" wrapText="1"/>
    </xf>
    <xf numFmtId="17" fontId="6" fillId="11" borderId="1" xfId="0" applyNumberFormat="1" applyFont="1" applyFill="1" applyBorder="1" applyAlignment="1">
      <alignment horizontal="center" vertical="center" wrapText="1"/>
    </xf>
    <xf numFmtId="1" fontId="3" fillId="11" borderId="1" xfId="0" applyNumberFormat="1" applyFont="1" applyFill="1" applyBorder="1" applyAlignment="1">
      <alignment horizontal="center" vertical="center" wrapText="1"/>
    </xf>
    <xf numFmtId="1" fontId="12" fillId="9" borderId="1" xfId="0" applyNumberFormat="1" applyFont="1" applyFill="1" applyBorder="1" applyAlignment="1">
      <alignment horizontal="right" vertical="center" wrapText="1"/>
    </xf>
    <xf numFmtId="0" fontId="24" fillId="0" borderId="0" xfId="0" applyFont="1"/>
    <xf numFmtId="0" fontId="19"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5" borderId="1" xfId="0" applyFont="1" applyFill="1" applyBorder="1" applyAlignment="1">
      <alignment vertical="center" wrapText="1"/>
    </xf>
    <xf numFmtId="0" fontId="3" fillId="9" borderId="1" xfId="0" applyFont="1" applyFill="1" applyBorder="1" applyAlignment="1">
      <alignment horizontal="center" vertical="center" wrapText="1"/>
    </xf>
    <xf numFmtId="2" fontId="3" fillId="0" borderId="1" xfId="0" applyNumberFormat="1" applyFont="1" applyBorder="1" applyAlignment="1">
      <alignment vertical="top"/>
    </xf>
    <xf numFmtId="2" fontId="3" fillId="0" borderId="1" xfId="0" applyNumberFormat="1" applyFont="1" applyBorder="1" applyAlignment="1">
      <alignment horizontal="center" vertical="top"/>
    </xf>
    <xf numFmtId="2" fontId="3" fillId="0" borderId="1" xfId="0" applyNumberFormat="1" applyFont="1" applyBorder="1" applyAlignment="1">
      <alignment horizontal="left" vertical="center"/>
    </xf>
    <xf numFmtId="0" fontId="15" fillId="0" borderId="1" xfId="0" applyFont="1" applyBorder="1"/>
    <xf numFmtId="0" fontId="30" fillId="0" borderId="1" xfId="0" applyFont="1" applyBorder="1" applyAlignment="1">
      <alignment horizontal="right" vertical="center" wrapText="1"/>
    </xf>
    <xf numFmtId="0" fontId="30" fillId="0" borderId="1" xfId="0" applyFont="1" applyBorder="1" applyAlignment="1">
      <alignment horizontal="right" vertical="center"/>
    </xf>
    <xf numFmtId="0" fontId="4" fillId="7" borderId="1" xfId="0" applyFont="1" applyFill="1" applyBorder="1" applyAlignment="1">
      <alignment horizontal="left" vertical="center"/>
    </xf>
    <xf numFmtId="0" fontId="4" fillId="0" borderId="1" xfId="0" applyFont="1" applyBorder="1" applyAlignment="1">
      <alignment horizontal="center" vertical="center"/>
    </xf>
    <xf numFmtId="2" fontId="3" fillId="0" borderId="1" xfId="0" applyNumberFormat="1" applyFont="1" applyBorder="1" applyAlignment="1">
      <alignment horizontal="center" vertical="center"/>
    </xf>
    <xf numFmtId="0" fontId="1" fillId="0" borderId="1" xfId="0" applyFont="1" applyBorder="1" applyAlignment="1">
      <alignment horizontal="left" vertical="top" wrapText="1"/>
    </xf>
    <xf numFmtId="0" fontId="2" fillId="0" borderId="1" xfId="0" applyFont="1" applyBorder="1" applyAlignment="1">
      <alignment horizontal="center" vertical="top" wrapText="1"/>
    </xf>
    <xf numFmtId="14" fontId="2" fillId="0" borderId="1" xfId="0" applyNumberFormat="1" applyFont="1" applyBorder="1" applyAlignment="1">
      <alignment horizontal="center" vertical="top" wrapText="1"/>
    </xf>
    <xf numFmtId="17" fontId="1" fillId="0" borderId="1" xfId="0" applyNumberFormat="1" applyFont="1" applyBorder="1" applyAlignment="1">
      <alignment horizontal="center" vertical="center" wrapText="1"/>
    </xf>
    <xf numFmtId="1" fontId="1" fillId="0" borderId="1" xfId="0" applyNumberFormat="1" applyFont="1" applyBorder="1" applyAlignment="1">
      <alignment horizontal="right" vertical="top" wrapText="1"/>
    </xf>
    <xf numFmtId="2" fontId="2" fillId="0" borderId="1" xfId="0" applyNumberFormat="1" applyFont="1" applyBorder="1" applyAlignment="1">
      <alignment horizontal="center" vertical="top" wrapText="1"/>
    </xf>
    <xf numFmtId="2" fontId="1" fillId="0" borderId="1" xfId="0" applyNumberFormat="1" applyFont="1" applyBorder="1" applyAlignment="1">
      <alignment horizontal="center" vertical="top" wrapText="1"/>
    </xf>
    <xf numFmtId="0" fontId="3" fillId="7" borderId="1" xfId="0" applyFont="1" applyFill="1" applyBorder="1" applyAlignment="1">
      <alignment horizontal="left" vertical="top"/>
    </xf>
    <xf numFmtId="165" fontId="22" fillId="7" borderId="1" xfId="0" applyNumberFormat="1" applyFont="1" applyFill="1" applyBorder="1" applyAlignment="1">
      <alignment horizontal="right" vertical="center" wrapText="1"/>
    </xf>
    <xf numFmtId="0" fontId="3" fillId="7" borderId="1" xfId="0" applyFont="1" applyFill="1" applyBorder="1" applyAlignment="1">
      <alignment vertical="center"/>
    </xf>
    <xf numFmtId="0" fontId="3" fillId="7" borderId="1" xfId="0" applyFont="1" applyFill="1" applyBorder="1" applyAlignment="1">
      <alignment horizontal="left" vertical="center"/>
    </xf>
    <xf numFmtId="0" fontId="3" fillId="7" borderId="1" xfId="0" applyFont="1" applyFill="1" applyBorder="1" applyAlignment="1">
      <alignment horizontal="center" vertical="center"/>
    </xf>
    <xf numFmtId="165" fontId="23" fillId="7" borderId="1" xfId="0" applyNumberFormat="1" applyFont="1" applyFill="1" applyBorder="1" applyAlignment="1">
      <alignment horizontal="right" vertical="center" wrapText="1"/>
    </xf>
    <xf numFmtId="0" fontId="23" fillId="7" borderId="1" xfId="0" applyFont="1" applyFill="1" applyBorder="1" applyAlignment="1">
      <alignment horizontal="right" vertical="center" wrapText="1"/>
    </xf>
    <xf numFmtId="0" fontId="22" fillId="7" borderId="1" xfId="0" applyFont="1" applyFill="1" applyBorder="1" applyAlignment="1">
      <alignment horizontal="right" vertical="center" wrapText="1"/>
    </xf>
    <xf numFmtId="0" fontId="29" fillId="7" borderId="1" xfId="0" applyFont="1" applyFill="1" applyBorder="1" applyAlignment="1">
      <alignment horizontal="right" vertical="center" wrapText="1"/>
    </xf>
    <xf numFmtId="0" fontId="1" fillId="0" borderId="1" xfId="0" applyFont="1" applyBorder="1" applyAlignment="1">
      <alignment vertical="top"/>
    </xf>
    <xf numFmtId="0" fontId="3" fillId="6" borderId="0" xfId="0" applyFont="1" applyFill="1" applyAlignment="1">
      <alignment horizontal="left" vertical="top"/>
    </xf>
    <xf numFmtId="0" fontId="3" fillId="6" borderId="9" xfId="0" applyFont="1" applyFill="1" applyBorder="1" applyAlignment="1">
      <alignment horizontal="center" vertical="top"/>
    </xf>
    <xf numFmtId="0" fontId="3" fillId="6" borderId="10" xfId="0" applyFont="1" applyFill="1" applyBorder="1" applyAlignment="1">
      <alignment horizontal="left" vertical="top"/>
    </xf>
    <xf numFmtId="0" fontId="3" fillId="6" borderId="10" xfId="0" applyFont="1" applyFill="1" applyBorder="1" applyAlignment="1">
      <alignment horizontal="center" vertical="top"/>
    </xf>
    <xf numFmtId="2" fontId="3" fillId="6" borderId="10" xfId="0" applyNumberFormat="1" applyFont="1" applyFill="1" applyBorder="1" applyAlignment="1">
      <alignment horizontal="right" vertical="top"/>
    </xf>
    <xf numFmtId="1" fontId="3" fillId="7" borderId="1" xfId="0" applyNumberFormat="1" applyFont="1" applyFill="1" applyBorder="1" applyAlignment="1">
      <alignment horizontal="center" vertical="center" wrapText="1"/>
    </xf>
    <xf numFmtId="1" fontId="3" fillId="7" borderId="1" xfId="0" applyNumberFormat="1" applyFont="1" applyFill="1" applyBorder="1" applyAlignment="1">
      <alignment horizontal="right" vertical="center" wrapText="1"/>
    </xf>
    <xf numFmtId="2" fontId="3" fillId="7" borderId="1" xfId="0" applyNumberFormat="1" applyFont="1" applyFill="1" applyBorder="1" applyAlignment="1">
      <alignment horizontal="center" vertical="center" wrapText="1"/>
    </xf>
    <xf numFmtId="2" fontId="3" fillId="7" borderId="1" xfId="0" applyNumberFormat="1" applyFont="1" applyFill="1" applyBorder="1" applyAlignment="1">
      <alignment horizontal="left" vertical="center"/>
    </xf>
    <xf numFmtId="0" fontId="6" fillId="7" borderId="1" xfId="0" applyFont="1" applyFill="1" applyBorder="1" applyAlignment="1">
      <alignment horizontal="center" vertical="center" wrapText="1"/>
    </xf>
    <xf numFmtId="17" fontId="6" fillId="7" borderId="1" xfId="0" applyNumberFormat="1" applyFont="1" applyFill="1" applyBorder="1" applyAlignment="1">
      <alignment horizontal="center" vertical="center" wrapText="1"/>
    </xf>
    <xf numFmtId="2" fontId="12" fillId="9" borderId="1" xfId="0" applyNumberFormat="1" applyFont="1" applyFill="1" applyBorder="1" applyAlignment="1">
      <alignment horizontal="center" vertical="center" wrapText="1"/>
    </xf>
    <xf numFmtId="2" fontId="4" fillId="9" borderId="1" xfId="0" applyNumberFormat="1" applyFont="1" applyFill="1" applyBorder="1" applyAlignment="1">
      <alignment horizontal="center" vertical="center" wrapText="1"/>
    </xf>
    <xf numFmtId="1" fontId="4" fillId="9" borderId="1" xfId="0" applyNumberFormat="1" applyFont="1" applyFill="1" applyBorder="1" applyAlignment="1">
      <alignment horizontal="right" vertical="center" wrapText="1"/>
    </xf>
    <xf numFmtId="1" fontId="6" fillId="7" borderId="1" xfId="0" applyNumberFormat="1" applyFont="1" applyFill="1" applyBorder="1" applyAlignment="1">
      <alignment horizontal="right" vertical="center"/>
    </xf>
    <xf numFmtId="2" fontId="6" fillId="7" borderId="1" xfId="0" applyNumberFormat="1" applyFont="1" applyFill="1" applyBorder="1" applyAlignment="1">
      <alignment horizontal="center" vertical="center" wrapText="1"/>
    </xf>
    <xf numFmtId="0" fontId="6" fillId="7" borderId="1" xfId="0" applyFont="1" applyFill="1" applyBorder="1" applyAlignment="1">
      <alignment horizontal="right" vertical="center"/>
    </xf>
    <xf numFmtId="0" fontId="20" fillId="7" borderId="1" xfId="0" applyFont="1" applyFill="1" applyBorder="1" applyAlignment="1">
      <alignment horizontal="center" vertical="center" wrapText="1"/>
    </xf>
    <xf numFmtId="2" fontId="3" fillId="7" borderId="1" xfId="0" applyNumberFormat="1" applyFont="1" applyFill="1" applyBorder="1" applyAlignment="1">
      <alignment vertical="top"/>
    </xf>
    <xf numFmtId="2" fontId="6" fillId="5" borderId="1" xfId="0" applyNumberFormat="1" applyFont="1" applyFill="1" applyBorder="1" applyAlignment="1">
      <alignment horizontal="center" vertical="center" wrapText="1"/>
    </xf>
    <xf numFmtId="0" fontId="6" fillId="5" borderId="1" xfId="0" applyFont="1" applyFill="1" applyBorder="1" applyAlignment="1">
      <alignment horizontal="right" vertical="center"/>
    </xf>
    <xf numFmtId="1" fontId="12" fillId="5" borderId="1" xfId="0" applyNumberFormat="1" applyFont="1" applyFill="1" applyBorder="1" applyAlignment="1">
      <alignment horizontal="center" vertical="top" wrapText="1"/>
    </xf>
    <xf numFmtId="1" fontId="10" fillId="0" borderId="1" xfId="0" applyNumberFormat="1" applyFont="1" applyBorder="1" applyAlignment="1">
      <alignment horizontal="center" vertical="center" wrapText="1"/>
    </xf>
    <xf numFmtId="0" fontId="4"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3" fillId="12" borderId="1" xfId="0" applyFont="1" applyFill="1" applyBorder="1" applyAlignment="1">
      <alignment horizontal="left" vertical="top" wrapText="1"/>
    </xf>
    <xf numFmtId="0" fontId="7" fillId="12" borderId="1" xfId="0" applyFont="1" applyFill="1" applyBorder="1" applyAlignment="1">
      <alignment vertical="center" wrapText="1"/>
    </xf>
    <xf numFmtId="0" fontId="7" fillId="12"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4" fillId="12" borderId="1" xfId="0" applyFont="1" applyFill="1" applyBorder="1" applyAlignment="1">
      <alignment horizontal="left" vertical="top" wrapText="1"/>
    </xf>
    <xf numFmtId="0" fontId="3" fillId="12" borderId="1" xfId="0" applyFont="1" applyFill="1" applyBorder="1" applyAlignment="1">
      <alignment vertical="top" wrapText="1"/>
    </xf>
    <xf numFmtId="0" fontId="2" fillId="12" borderId="1" xfId="0" applyFont="1" applyFill="1" applyBorder="1" applyAlignment="1">
      <alignment horizontal="left" vertical="top" wrapText="1"/>
    </xf>
    <xf numFmtId="0" fontId="10" fillId="9" borderId="1" xfId="0" applyFont="1" applyFill="1" applyBorder="1" applyAlignment="1">
      <alignment horizontal="center" vertical="center" wrapText="1"/>
    </xf>
    <xf numFmtId="1" fontId="3" fillId="12" borderId="1" xfId="0" applyNumberFormat="1" applyFont="1" applyFill="1" applyBorder="1" applyAlignment="1">
      <alignment vertical="center" wrapText="1"/>
    </xf>
    <xf numFmtId="0" fontId="32" fillId="9" borderId="1" xfId="0" applyFont="1" applyFill="1" applyBorder="1" applyAlignment="1">
      <alignment horizontal="center" vertical="center" wrapText="1"/>
    </xf>
    <xf numFmtId="0" fontId="33" fillId="0" borderId="1" xfId="0" applyFont="1" applyBorder="1" applyAlignment="1">
      <alignment horizontal="left" vertical="center" wrapText="1"/>
    </xf>
    <xf numFmtId="17" fontId="4" fillId="7" borderId="1" xfId="0" applyNumberFormat="1" applyFont="1" applyFill="1" applyBorder="1" applyAlignment="1">
      <alignment horizontal="center" vertical="center" wrapText="1"/>
    </xf>
    <xf numFmtId="1" fontId="3" fillId="0" borderId="0" xfId="0" applyNumberFormat="1" applyFont="1" applyAlignment="1">
      <alignment horizontal="right" vertical="top"/>
    </xf>
    <xf numFmtId="0" fontId="4"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0" xfId="0" applyFont="1" applyFill="1" applyAlignment="1">
      <alignment horizontal="left" vertical="top"/>
    </xf>
    <xf numFmtId="17" fontId="4" fillId="4" borderId="1" xfId="0" applyNumberFormat="1" applyFont="1" applyFill="1" applyBorder="1" applyAlignment="1">
      <alignment horizontal="center" vertical="center" wrapText="1"/>
    </xf>
    <xf numFmtId="0" fontId="3" fillId="4" borderId="0" xfId="0" applyFont="1" applyFill="1" applyAlignment="1">
      <alignment horizontal="center" vertical="top"/>
    </xf>
    <xf numFmtId="0" fontId="3" fillId="4" borderId="1" xfId="0" applyFont="1" applyFill="1" applyBorder="1" applyAlignment="1">
      <alignment horizontal="center" vertical="top"/>
    </xf>
    <xf numFmtId="0" fontId="31"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2" fontId="4" fillId="5" borderId="1" xfId="0" applyNumberFormat="1" applyFont="1" applyFill="1" applyBorder="1" applyAlignment="1">
      <alignment horizontal="center" vertical="center" wrapText="1"/>
    </xf>
    <xf numFmtId="1" fontId="4" fillId="5" borderId="1" xfId="0" applyNumberFormat="1" applyFont="1" applyFill="1" applyBorder="1" applyAlignment="1">
      <alignment horizontal="right" vertical="center" wrapText="1"/>
    </xf>
    <xf numFmtId="0" fontId="32" fillId="5" borderId="1" xfId="0" applyFont="1" applyFill="1" applyBorder="1" applyAlignment="1">
      <alignment horizontal="center" vertical="center" wrapText="1"/>
    </xf>
    <xf numFmtId="2" fontId="12" fillId="5" borderId="1" xfId="0" applyNumberFormat="1" applyFont="1" applyFill="1" applyBorder="1" applyAlignment="1">
      <alignment horizontal="center" vertical="center" wrapText="1"/>
    </xf>
    <xf numFmtId="1" fontId="12" fillId="5"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top"/>
    </xf>
    <xf numFmtId="0" fontId="3" fillId="7" borderId="1" xfId="0" applyFont="1" applyFill="1" applyBorder="1" applyAlignment="1">
      <alignment horizontal="left" vertical="center" wrapText="1"/>
    </xf>
    <xf numFmtId="1" fontId="4" fillId="7" borderId="1" xfId="0" applyNumberFormat="1" applyFont="1" applyFill="1" applyBorder="1" applyAlignment="1">
      <alignment horizontal="right" vertical="top"/>
    </xf>
    <xf numFmtId="0" fontId="3" fillId="7" borderId="1" xfId="0" applyFont="1" applyFill="1" applyBorder="1" applyAlignment="1">
      <alignment horizontal="center" vertical="top"/>
    </xf>
    <xf numFmtId="0" fontId="3" fillId="7" borderId="0" xfId="0" applyFont="1" applyFill="1" applyAlignment="1">
      <alignment horizontal="left" vertical="top"/>
    </xf>
    <xf numFmtId="1" fontId="4" fillId="6" borderId="1" xfId="0" applyNumberFormat="1" applyFont="1" applyFill="1" applyBorder="1" applyAlignment="1">
      <alignment horizontal="right" vertical="center"/>
    </xf>
    <xf numFmtId="17" fontId="16" fillId="3" borderId="1" xfId="0" applyNumberFormat="1" applyFont="1" applyFill="1" applyBorder="1" applyAlignment="1">
      <alignment horizontal="center" vertical="top" wrapText="1"/>
    </xf>
    <xf numFmtId="0" fontId="34" fillId="0" borderId="18" xfId="0" applyFont="1" applyBorder="1" applyAlignment="1">
      <alignment horizontal="center" vertical="center" wrapText="1"/>
    </xf>
    <xf numFmtId="0" fontId="34" fillId="0" borderId="20" xfId="0" applyFont="1" applyBorder="1" applyAlignment="1">
      <alignment horizontal="center" vertical="center" wrapText="1"/>
    </xf>
    <xf numFmtId="0" fontId="4" fillId="0" borderId="0" xfId="0" applyFont="1" applyAlignment="1">
      <alignment horizontal="left" vertical="top" wrapText="1"/>
    </xf>
    <xf numFmtId="0" fontId="3" fillId="5" borderId="0" xfId="0" applyFont="1" applyFill="1" applyAlignment="1">
      <alignment horizontal="center" vertical="center" wrapText="1"/>
    </xf>
    <xf numFmtId="0" fontId="34" fillId="0" borderId="16" xfId="0" applyFont="1" applyBorder="1" applyAlignment="1">
      <alignment horizontal="right" vertical="center" wrapText="1"/>
    </xf>
    <xf numFmtId="0" fontId="30" fillId="0" borderId="18" xfId="0" applyFont="1" applyBorder="1" applyAlignment="1">
      <alignment horizontal="right" vertical="center" wrapText="1"/>
    </xf>
    <xf numFmtId="0" fontId="12" fillId="5" borderId="1" xfId="0" applyFont="1" applyFill="1" applyBorder="1" applyAlignment="1">
      <alignment horizontal="right" vertical="center" wrapText="1"/>
    </xf>
    <xf numFmtId="0" fontId="32" fillId="7" borderId="1" xfId="0" applyFont="1" applyFill="1" applyBorder="1" applyAlignment="1">
      <alignment horizontal="center" vertical="center" wrapText="1"/>
    </xf>
    <xf numFmtId="1" fontId="10" fillId="7" borderId="1" xfId="0" applyNumberFormat="1" applyFont="1" applyFill="1" applyBorder="1" applyAlignment="1">
      <alignment horizontal="center" vertical="center" wrapText="1"/>
    </xf>
    <xf numFmtId="1" fontId="6" fillId="7" borderId="1" xfId="0" applyNumberFormat="1" applyFont="1" applyFill="1" applyBorder="1" applyAlignment="1">
      <alignment horizontal="right" vertical="center" wrapText="1"/>
    </xf>
    <xf numFmtId="17" fontId="12" fillId="5" borderId="1" xfId="0" applyNumberFormat="1" applyFont="1" applyFill="1" applyBorder="1" applyAlignment="1">
      <alignment horizontal="center" vertical="center" wrapText="1"/>
    </xf>
    <xf numFmtId="0" fontId="3" fillId="13" borderId="0" xfId="0" applyFont="1" applyFill="1" applyAlignment="1">
      <alignment horizontal="center" vertical="top"/>
    </xf>
    <xf numFmtId="0" fontId="3" fillId="13" borderId="0" xfId="0" applyFont="1" applyFill="1" applyAlignment="1">
      <alignment horizontal="left" vertical="top"/>
    </xf>
    <xf numFmtId="0" fontId="36" fillId="13" borderId="0" xfId="0" applyFont="1" applyFill="1" applyAlignment="1">
      <alignment horizontal="left" vertical="top"/>
    </xf>
    <xf numFmtId="0" fontId="3" fillId="7" borderId="1" xfId="0" applyFont="1" applyFill="1" applyBorder="1" applyAlignment="1">
      <alignment horizontal="right" vertical="center" wrapText="1"/>
    </xf>
    <xf numFmtId="1" fontId="12" fillId="7" borderId="1" xfId="0" applyNumberFormat="1" applyFont="1" applyFill="1" applyBorder="1" applyAlignment="1">
      <alignment horizontal="right" vertical="center" wrapText="1"/>
    </xf>
    <xf numFmtId="0" fontId="12" fillId="7" borderId="1" xfId="0" applyFont="1" applyFill="1" applyBorder="1" applyAlignment="1">
      <alignment horizontal="right" vertical="center" wrapText="1"/>
    </xf>
    <xf numFmtId="0" fontId="37" fillId="0" borderId="1" xfId="0" applyFont="1" applyBorder="1" applyAlignment="1">
      <alignment vertical="top" wrapText="1"/>
    </xf>
    <xf numFmtId="0" fontId="37" fillId="0" borderId="1" xfId="0" applyFont="1" applyBorder="1" applyAlignment="1">
      <alignment horizontal="center" vertical="top" wrapText="1"/>
    </xf>
    <xf numFmtId="0" fontId="37" fillId="0" borderId="1" xfId="0" applyFont="1" applyBorder="1" applyAlignment="1">
      <alignment horizontal="center" vertical="center" wrapText="1"/>
    </xf>
    <xf numFmtId="0" fontId="37" fillId="0" borderId="1" xfId="0" applyFont="1" applyBorder="1" applyAlignment="1">
      <alignment horizontal="left" vertical="top" wrapText="1"/>
    </xf>
    <xf numFmtId="1" fontId="37" fillId="0" borderId="1" xfId="0" applyNumberFormat="1" applyFont="1" applyBorder="1" applyAlignment="1">
      <alignment horizontal="center" vertical="center" wrapText="1"/>
    </xf>
    <xf numFmtId="1" fontId="38" fillId="0" borderId="1" xfId="0" applyNumberFormat="1" applyFont="1" applyBorder="1" applyAlignment="1">
      <alignment horizontal="right" vertical="center" wrapText="1"/>
    </xf>
    <xf numFmtId="0" fontId="4" fillId="0" borderId="1" xfId="0" applyFont="1" applyBorder="1" applyAlignment="1">
      <alignment horizontal="left" vertical="top"/>
    </xf>
    <xf numFmtId="1" fontId="4" fillId="6" borderId="10" xfId="0" applyNumberFormat="1" applyFont="1" applyFill="1" applyBorder="1" applyAlignment="1">
      <alignment horizontal="right" vertical="top"/>
    </xf>
    <xf numFmtId="0" fontId="37" fillId="0" borderId="7" xfId="0" applyFont="1" applyBorder="1" applyAlignment="1">
      <alignment vertical="top" wrapText="1"/>
    </xf>
    <xf numFmtId="0" fontId="37" fillId="0" borderId="7" xfId="0" applyFont="1" applyBorder="1" applyAlignment="1">
      <alignment horizontal="center" vertical="top" wrapText="1"/>
    </xf>
    <xf numFmtId="0" fontId="37" fillId="0" borderId="6" xfId="0" applyFont="1" applyBorder="1" applyAlignment="1">
      <alignment horizontal="center" vertical="top" wrapText="1"/>
    </xf>
    <xf numFmtId="0" fontId="0" fillId="0" borderId="0" xfId="0" applyAlignment="1">
      <alignment vertical="center"/>
    </xf>
    <xf numFmtId="1" fontId="39" fillId="0" borderId="1" xfId="0" applyNumberFormat="1" applyFont="1" applyBorder="1" applyAlignment="1">
      <alignment horizontal="right" vertical="center" wrapText="1"/>
    </xf>
    <xf numFmtId="1" fontId="40" fillId="0" borderId="1" xfId="0" applyNumberFormat="1" applyFont="1" applyBorder="1" applyAlignment="1">
      <alignment horizontal="right" vertical="center" wrapText="1"/>
    </xf>
    <xf numFmtId="1" fontId="38" fillId="0" borderId="5" xfId="0" applyNumberFormat="1" applyFont="1" applyBorder="1" applyAlignment="1">
      <alignment horizontal="right" vertical="center" wrapText="1"/>
    </xf>
    <xf numFmtId="1" fontId="41" fillId="0" borderId="1" xfId="0" applyNumberFormat="1" applyFont="1" applyBorder="1" applyAlignment="1">
      <alignment horizontal="center" vertical="center" wrapText="1"/>
    </xf>
    <xf numFmtId="0" fontId="37" fillId="0" borderId="0" xfId="0" applyFont="1" applyAlignment="1">
      <alignment vertical="top" wrapText="1"/>
    </xf>
    <xf numFmtId="0" fontId="37" fillId="0" borderId="2" xfId="0" applyFont="1" applyBorder="1" applyAlignment="1">
      <alignment horizontal="center" vertical="center" wrapText="1"/>
    </xf>
    <xf numFmtId="0" fontId="38" fillId="0" borderId="2" xfId="0" applyFont="1" applyBorder="1" applyAlignment="1">
      <alignment horizontal="right" vertical="center" wrapText="1"/>
    </xf>
    <xf numFmtId="1" fontId="38" fillId="0" borderId="2" xfId="0" applyNumberFormat="1" applyFont="1" applyBorder="1" applyAlignment="1">
      <alignment horizontal="right" vertical="center" wrapText="1"/>
    </xf>
    <xf numFmtId="1" fontId="37" fillId="0" borderId="31" xfId="0" applyNumberFormat="1" applyFont="1" applyBorder="1" applyAlignment="1">
      <alignment horizontal="right" vertical="center" wrapText="1"/>
    </xf>
    <xf numFmtId="0" fontId="3" fillId="0" borderId="2" xfId="0" applyFont="1" applyBorder="1" applyAlignment="1">
      <alignment horizontal="center" vertical="top"/>
    </xf>
    <xf numFmtId="0" fontId="3" fillId="0" borderId="3" xfId="0" applyFont="1" applyBorder="1" applyAlignment="1">
      <alignment horizontal="left" vertical="top"/>
    </xf>
    <xf numFmtId="0" fontId="3" fillId="0" borderId="4" xfId="0" applyFont="1" applyBorder="1" applyAlignment="1">
      <alignment horizontal="left" vertical="top"/>
    </xf>
    <xf numFmtId="1" fontId="43" fillId="0" borderId="1" xfId="0" applyNumberFormat="1" applyFont="1" applyBorder="1" applyAlignment="1">
      <alignment horizontal="right" vertical="center"/>
    </xf>
    <xf numFmtId="1" fontId="43" fillId="7" borderId="1" xfId="0" applyNumberFormat="1" applyFont="1" applyFill="1" applyBorder="1" applyAlignment="1">
      <alignment horizontal="right" vertical="center" wrapText="1"/>
    </xf>
    <xf numFmtId="1" fontId="43" fillId="0" borderId="1" xfId="0" applyNumberFormat="1" applyFont="1" applyBorder="1" applyAlignment="1">
      <alignment horizontal="right" vertical="top"/>
    </xf>
    <xf numFmtId="0" fontId="3" fillId="11" borderId="1" xfId="0" applyFont="1" applyFill="1" applyBorder="1" applyAlignment="1">
      <alignment horizontal="right" vertical="center" wrapText="1"/>
    </xf>
    <xf numFmtId="0" fontId="37" fillId="4" borderId="1" xfId="0" applyFont="1" applyFill="1" applyBorder="1" applyAlignment="1">
      <alignment horizontal="center" vertical="center" wrapText="1"/>
    </xf>
    <xf numFmtId="0" fontId="38" fillId="4" borderId="1" xfId="0" applyFont="1" applyFill="1" applyBorder="1" applyAlignment="1">
      <alignment horizontal="right" vertical="center" wrapText="1"/>
    </xf>
    <xf numFmtId="1" fontId="38" fillId="4" borderId="1" xfId="0" applyNumberFormat="1" applyFont="1" applyFill="1" applyBorder="1" applyAlignment="1">
      <alignment horizontal="right" vertical="center" wrapText="1"/>
    </xf>
    <xf numFmtId="0" fontId="38" fillId="4" borderId="1" xfId="0" applyFont="1" applyFill="1" applyBorder="1" applyAlignment="1">
      <alignment horizontal="center" vertical="center" wrapText="1"/>
    </xf>
    <xf numFmtId="0" fontId="38" fillId="4" borderId="5" xfId="0" applyFont="1" applyFill="1" applyBorder="1" applyAlignment="1">
      <alignment horizontal="right" vertical="center" wrapText="1"/>
    </xf>
    <xf numFmtId="1" fontId="37" fillId="4" borderId="1" xfId="0" applyNumberFormat="1" applyFont="1" applyFill="1" applyBorder="1" applyAlignment="1">
      <alignment horizontal="center" vertical="center" wrapText="1"/>
    </xf>
    <xf numFmtId="1" fontId="37" fillId="4" borderId="1" xfId="0" applyNumberFormat="1" applyFont="1" applyFill="1" applyBorder="1" applyAlignment="1">
      <alignment horizontal="right" vertical="center" wrapText="1"/>
    </xf>
    <xf numFmtId="0" fontId="1" fillId="9" borderId="1" xfId="0" applyFont="1" applyFill="1" applyBorder="1" applyAlignment="1">
      <alignment horizontal="center" vertical="top"/>
    </xf>
    <xf numFmtId="0" fontId="1" fillId="9" borderId="1" xfId="0" applyFont="1" applyFill="1" applyBorder="1" applyAlignment="1">
      <alignment horizontal="left" vertical="top"/>
    </xf>
    <xf numFmtId="0" fontId="3" fillId="9" borderId="1" xfId="0" applyFont="1" applyFill="1" applyBorder="1" applyAlignment="1">
      <alignment horizontal="center" vertical="top"/>
    </xf>
    <xf numFmtId="0" fontId="3" fillId="9" borderId="1" xfId="0" applyFont="1" applyFill="1" applyBorder="1" applyAlignment="1">
      <alignment horizontal="left" vertical="top"/>
    </xf>
    <xf numFmtId="1" fontId="42" fillId="9" borderId="1" xfId="0" applyNumberFormat="1" applyFont="1" applyFill="1" applyBorder="1" applyAlignment="1">
      <alignment horizontal="right" vertical="center" wrapText="1"/>
    </xf>
    <xf numFmtId="0" fontId="44" fillId="0" borderId="0" xfId="0" applyFont="1"/>
    <xf numFmtId="0" fontId="45" fillId="0" borderId="0" xfId="0" applyFont="1"/>
    <xf numFmtId="1" fontId="12" fillId="0" borderId="1" xfId="0" applyNumberFormat="1" applyFont="1" applyBorder="1" applyAlignment="1">
      <alignment horizontal="right" vertical="center" wrapText="1"/>
    </xf>
    <xf numFmtId="1" fontId="3" fillId="0" borderId="1" xfId="0" applyNumberFormat="1" applyFont="1" applyBorder="1" applyAlignment="1">
      <alignment horizontal="right" vertical="top" wrapText="1"/>
    </xf>
    <xf numFmtId="1" fontId="46" fillId="13" borderId="0" xfId="0" applyNumberFormat="1" applyFont="1" applyFill="1" applyAlignment="1">
      <alignment horizontal="center" vertical="top"/>
    </xf>
    <xf numFmtId="1" fontId="3" fillId="5" borderId="1" xfId="0" applyNumberFormat="1" applyFont="1" applyFill="1" applyBorder="1" applyAlignment="1">
      <alignment vertical="top"/>
    </xf>
    <xf numFmtId="1" fontId="36" fillId="13" borderId="0" xfId="0" applyNumberFormat="1" applyFont="1" applyFill="1" applyAlignment="1">
      <alignment horizontal="center" vertical="top"/>
    </xf>
    <xf numFmtId="1" fontId="1" fillId="6" borderId="10" xfId="0" applyNumberFormat="1" applyFont="1" applyFill="1" applyBorder="1" applyAlignment="1">
      <alignment horizontal="center" vertical="top"/>
    </xf>
    <xf numFmtId="2" fontId="3" fillId="5" borderId="1" xfId="0" applyNumberFormat="1" applyFont="1" applyFill="1" applyBorder="1" applyAlignment="1">
      <alignment horizontal="right" vertical="center" wrapText="1"/>
    </xf>
    <xf numFmtId="2" fontId="13" fillId="11" borderId="1" xfId="0" applyNumberFormat="1" applyFont="1" applyFill="1" applyBorder="1" applyAlignment="1">
      <alignment horizontal="center" vertical="center" wrapText="1"/>
    </xf>
    <xf numFmtId="17" fontId="3" fillId="11" borderId="1" xfId="0" applyNumberFormat="1" applyFont="1" applyFill="1" applyBorder="1" applyAlignment="1">
      <alignment horizontal="center" vertical="center" wrapText="1"/>
    </xf>
    <xf numFmtId="1" fontId="3" fillId="11" borderId="1" xfId="0" applyNumberFormat="1" applyFont="1" applyFill="1" applyBorder="1" applyAlignment="1">
      <alignment horizontal="right" vertical="center" wrapText="1"/>
    </xf>
    <xf numFmtId="0" fontId="6" fillId="5" borderId="1" xfId="0" applyFont="1" applyFill="1" applyBorder="1" applyAlignment="1">
      <alignment horizontal="right" vertical="center" wrapText="1"/>
    </xf>
    <xf numFmtId="2" fontId="47" fillId="5" borderId="1" xfId="0" applyNumberFormat="1" applyFont="1" applyFill="1" applyBorder="1" applyAlignment="1">
      <alignment horizontal="center" vertical="center" wrapText="1"/>
    </xf>
    <xf numFmtId="1" fontId="3" fillId="0" borderId="0" xfId="0" applyNumberFormat="1" applyFont="1" applyAlignment="1">
      <alignment horizontal="left" vertical="top"/>
    </xf>
    <xf numFmtId="1" fontId="3" fillId="10" borderId="1" xfId="0" applyNumberFormat="1" applyFont="1" applyFill="1" applyBorder="1" applyAlignment="1">
      <alignment horizontal="right" vertical="center" wrapText="1"/>
    </xf>
    <xf numFmtId="2" fontId="3" fillId="10" borderId="1" xfId="0" applyNumberFormat="1" applyFont="1" applyFill="1" applyBorder="1" applyAlignment="1">
      <alignment horizontal="center" vertical="center" wrapText="1"/>
    </xf>
    <xf numFmtId="0" fontId="4" fillId="7"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4" fillId="7" borderId="1" xfId="0" applyFont="1" applyFill="1" applyBorder="1" applyAlignment="1">
      <alignment vertical="top" wrapText="1"/>
    </xf>
    <xf numFmtId="2" fontId="48" fillId="5" borderId="1" xfId="0" applyNumberFormat="1" applyFont="1" applyFill="1" applyBorder="1" applyAlignment="1">
      <alignment horizontal="center" vertical="center" wrapText="1"/>
    </xf>
    <xf numFmtId="1" fontId="3" fillId="0" borderId="0" xfId="0" applyNumberFormat="1" applyFont="1" applyAlignment="1">
      <alignment horizontal="left" vertical="center"/>
    </xf>
    <xf numFmtId="0" fontId="3" fillId="6" borderId="1" xfId="0" applyFont="1" applyFill="1" applyBorder="1" applyAlignment="1">
      <alignment horizontal="center" vertical="center" wrapText="1"/>
    </xf>
    <xf numFmtId="17" fontId="3" fillId="6" borderId="1" xfId="0" applyNumberFormat="1" applyFont="1" applyFill="1" applyBorder="1" applyAlignment="1">
      <alignment horizontal="center" vertical="center" wrapText="1"/>
    </xf>
    <xf numFmtId="1" fontId="3" fillId="6" borderId="1" xfId="0" applyNumberFormat="1" applyFont="1" applyFill="1" applyBorder="1" applyAlignment="1">
      <alignment horizontal="right" vertical="center" wrapText="1"/>
    </xf>
    <xf numFmtId="2" fontId="3" fillId="6" borderId="1" xfId="0" applyNumberFormat="1" applyFont="1" applyFill="1" applyBorder="1" applyAlignment="1">
      <alignment horizontal="center" vertical="center" wrapText="1"/>
    </xf>
    <xf numFmtId="0" fontId="4" fillId="0" borderId="1" xfId="0" applyFont="1" applyBorder="1" applyAlignment="1">
      <alignment vertical="center" wrapText="1"/>
    </xf>
    <xf numFmtId="2" fontId="3" fillId="14" borderId="1" xfId="0" applyNumberFormat="1" applyFont="1" applyFill="1" applyBorder="1" applyAlignment="1">
      <alignment horizontal="center" vertical="center" wrapText="1"/>
    </xf>
    <xf numFmtId="0" fontId="6" fillId="15" borderId="1" xfId="0" applyFont="1" applyFill="1" applyBorder="1" applyAlignment="1">
      <alignment horizontal="center" vertical="center" wrapText="1"/>
    </xf>
    <xf numFmtId="17" fontId="6" fillId="15" borderId="1" xfId="0" applyNumberFormat="1" applyFont="1" applyFill="1" applyBorder="1" applyAlignment="1">
      <alignment horizontal="center" vertical="center" wrapText="1"/>
    </xf>
    <xf numFmtId="1" fontId="6" fillId="15" borderId="1" xfId="0" applyNumberFormat="1" applyFont="1" applyFill="1" applyBorder="1" applyAlignment="1">
      <alignment horizontal="right" vertical="center" wrapText="1"/>
    </xf>
    <xf numFmtId="2" fontId="49" fillId="5" borderId="1" xfId="0" applyNumberFormat="1" applyFont="1" applyFill="1" applyBorder="1" applyAlignment="1">
      <alignment horizontal="center" vertical="center" wrapText="1"/>
    </xf>
    <xf numFmtId="0" fontId="3" fillId="0" borderId="0" xfId="0" applyFont="1" applyAlignment="1">
      <alignment horizontal="right" vertical="top"/>
    </xf>
    <xf numFmtId="1" fontId="3" fillId="16" borderId="1" xfId="0" applyNumberFormat="1" applyFont="1" applyFill="1" applyBorder="1" applyAlignment="1">
      <alignment horizontal="right" vertical="top" wrapText="1"/>
    </xf>
    <xf numFmtId="1" fontId="37" fillId="0" borderId="1" xfId="0" applyNumberFormat="1" applyFont="1" applyBorder="1" applyAlignment="1">
      <alignment horizontal="right" vertical="center" wrapText="1"/>
    </xf>
    <xf numFmtId="1" fontId="41" fillId="0" borderId="1" xfId="0" applyNumberFormat="1" applyFont="1" applyBorder="1" applyAlignment="1">
      <alignment horizontal="right" vertical="center" wrapText="1"/>
    </xf>
    <xf numFmtId="0" fontId="0" fillId="0" borderId="1" xfId="0" applyBorder="1"/>
    <xf numFmtId="0" fontId="22" fillId="0" borderId="0" xfId="0" applyFont="1" applyAlignment="1">
      <alignment horizontal="right" vertical="center" wrapText="1"/>
    </xf>
    <xf numFmtId="0" fontId="10" fillId="0" borderId="1" xfId="0" applyFont="1" applyBorder="1" applyAlignment="1">
      <alignment horizontal="left" vertical="top"/>
    </xf>
    <xf numFmtId="0" fontId="3" fillId="5" borderId="1" xfId="0" applyFont="1" applyFill="1" applyBorder="1" applyAlignment="1">
      <alignment horizontal="left" vertical="top" wrapText="1"/>
    </xf>
    <xf numFmtId="0" fontId="1" fillId="0" borderId="4" xfId="0" applyFont="1" applyBorder="1" applyAlignment="1">
      <alignment horizontal="center" vertical="center"/>
    </xf>
    <xf numFmtId="0" fontId="50" fillId="0" borderId="16" xfId="0" applyFont="1" applyBorder="1" applyAlignment="1">
      <alignment horizontal="right" vertical="center" wrapText="1"/>
    </xf>
    <xf numFmtId="0" fontId="50" fillId="0" borderId="17" xfId="0" applyFont="1" applyBorder="1" applyAlignment="1">
      <alignment horizontal="right" vertical="center" wrapText="1"/>
    </xf>
    <xf numFmtId="0" fontId="50" fillId="0" borderId="18" xfId="0" applyFont="1" applyBorder="1" applyAlignment="1">
      <alignment horizontal="right" vertical="center" wrapText="1"/>
    </xf>
    <xf numFmtId="0" fontId="50" fillId="0" borderId="20" xfId="0" applyFont="1" applyBorder="1" applyAlignment="1">
      <alignment horizontal="right" vertical="center" wrapText="1"/>
    </xf>
    <xf numFmtId="0" fontId="37" fillId="4" borderId="2" xfId="0" applyFont="1" applyFill="1" applyBorder="1" applyAlignment="1">
      <alignment horizontal="center" vertical="center" wrapText="1"/>
    </xf>
    <xf numFmtId="0" fontId="38" fillId="4" borderId="2" xfId="0" applyFont="1" applyFill="1" applyBorder="1" applyAlignment="1">
      <alignment horizontal="right" vertical="center" wrapText="1"/>
    </xf>
    <xf numFmtId="1" fontId="38" fillId="4" borderId="2" xfId="0" applyNumberFormat="1" applyFont="1" applyFill="1" applyBorder="1" applyAlignment="1">
      <alignment horizontal="right" vertical="center" wrapText="1"/>
    </xf>
    <xf numFmtId="1" fontId="37" fillId="4" borderId="31" xfId="0" applyNumberFormat="1" applyFont="1" applyFill="1" applyBorder="1" applyAlignment="1">
      <alignment horizontal="right" vertical="center" wrapText="1"/>
    </xf>
    <xf numFmtId="0" fontId="51" fillId="5" borderId="1" xfId="0" applyFont="1" applyFill="1" applyBorder="1" applyAlignment="1">
      <alignment horizontal="center" vertical="center" wrapText="1"/>
    </xf>
    <xf numFmtId="9" fontId="12" fillId="5" borderId="1" xfId="0" applyNumberFormat="1" applyFont="1" applyFill="1" applyBorder="1" applyAlignment="1">
      <alignment horizontal="center" vertical="center" wrapText="1"/>
    </xf>
    <xf numFmtId="9" fontId="52" fillId="5" borderId="1" xfId="0" applyNumberFormat="1" applyFont="1" applyFill="1" applyBorder="1" applyAlignment="1">
      <alignment horizontal="center" vertical="center" wrapText="1"/>
    </xf>
    <xf numFmtId="2" fontId="53" fillId="5" borderId="1" xfId="0" applyNumberFormat="1" applyFont="1" applyFill="1" applyBorder="1" applyAlignment="1">
      <alignment horizontal="center" vertical="center" wrapText="1"/>
    </xf>
    <xf numFmtId="2" fontId="52" fillId="5" borderId="1" xfId="0" applyNumberFormat="1" applyFont="1" applyFill="1" applyBorder="1" applyAlignment="1">
      <alignment horizontal="center" vertical="center" wrapText="1"/>
    </xf>
    <xf numFmtId="2" fontId="52" fillId="7" borderId="1" xfId="0" applyNumberFormat="1" applyFont="1" applyFill="1" applyBorder="1" applyAlignment="1">
      <alignment horizontal="center" vertical="center" wrapText="1"/>
    </xf>
    <xf numFmtId="2" fontId="3" fillId="7" borderId="1" xfId="0" applyNumberFormat="1" applyFont="1" applyFill="1" applyBorder="1" applyAlignment="1">
      <alignment horizontal="center" vertical="top" wrapText="1"/>
    </xf>
    <xf numFmtId="1" fontId="4" fillId="5" borderId="1" xfId="0" applyNumberFormat="1" applyFont="1" applyFill="1" applyBorder="1" applyAlignment="1">
      <alignment horizontal="right" vertical="top" wrapText="1"/>
    </xf>
    <xf numFmtId="0" fontId="54" fillId="9" borderId="1" xfId="0" applyFont="1" applyFill="1" applyBorder="1" applyAlignment="1">
      <alignment horizontal="center" vertical="top"/>
    </xf>
    <xf numFmtId="0" fontId="54" fillId="9" borderId="1" xfId="0" applyFont="1" applyFill="1" applyBorder="1" applyAlignment="1">
      <alignment horizontal="left" vertical="top"/>
    </xf>
    <xf numFmtId="0" fontId="50" fillId="0" borderId="0" xfId="0" applyFont="1" applyAlignment="1">
      <alignment horizontal="right" vertical="center" wrapText="1"/>
    </xf>
    <xf numFmtId="1" fontId="6" fillId="12" borderId="1" xfId="0" applyNumberFormat="1" applyFont="1" applyFill="1" applyBorder="1" applyAlignment="1">
      <alignment vertical="center" wrapText="1"/>
    </xf>
    <xf numFmtId="0" fontId="55" fillId="0" borderId="1" xfId="0" applyFont="1" applyBorder="1" applyAlignment="1">
      <alignment vertical="center" wrapText="1"/>
    </xf>
    <xf numFmtId="0" fontId="29" fillId="0" borderId="1" xfId="0" applyFont="1" applyBorder="1" applyAlignment="1">
      <alignment horizontal="center" vertical="center" wrapText="1"/>
    </xf>
    <xf numFmtId="0" fontId="56" fillId="0" borderId="1" xfId="0" applyFont="1" applyBorder="1" applyAlignment="1">
      <alignment horizontal="center" vertical="center" wrapText="1"/>
    </xf>
    <xf numFmtId="1" fontId="29" fillId="0" borderId="1" xfId="0" applyNumberFormat="1" applyFont="1" applyBorder="1" applyAlignment="1">
      <alignment horizontal="right" vertical="center" wrapText="1"/>
    </xf>
    <xf numFmtId="0" fontId="33" fillId="0" borderId="0" xfId="0" applyFont="1" applyAlignment="1">
      <alignment horizontal="center"/>
    </xf>
    <xf numFmtId="0" fontId="33" fillId="0" borderId="0" xfId="0" applyFont="1"/>
    <xf numFmtId="0" fontId="57" fillId="0" borderId="1" xfId="0" applyFont="1" applyBorder="1" applyAlignment="1">
      <alignment horizontal="left" vertical="top" wrapText="1"/>
    </xf>
    <xf numFmtId="1" fontId="15" fillId="0" borderId="1" xfId="0" applyNumberFormat="1" applyFont="1" applyBorder="1" applyAlignment="1">
      <alignment horizontal="right" vertical="center" wrapText="1"/>
    </xf>
    <xf numFmtId="1" fontId="58" fillId="0" borderId="1" xfId="0" applyNumberFormat="1" applyFont="1" applyBorder="1" applyAlignment="1">
      <alignment horizontal="right" vertical="center" wrapText="1"/>
    </xf>
    <xf numFmtId="1" fontId="15" fillId="0" borderId="5" xfId="0" applyNumberFormat="1" applyFont="1" applyBorder="1" applyAlignment="1">
      <alignment horizontal="right" vertical="center" wrapText="1"/>
    </xf>
    <xf numFmtId="0" fontId="2" fillId="0" borderId="1" xfId="0" applyFont="1" applyBorder="1"/>
    <xf numFmtId="1" fontId="29" fillId="0" borderId="1" xfId="0" applyNumberFormat="1" applyFont="1" applyBorder="1" applyAlignment="1">
      <alignment horizontal="center" vertical="center" wrapText="1"/>
    </xf>
    <xf numFmtId="1" fontId="13" fillId="0" borderId="1" xfId="0" applyNumberFormat="1" applyFont="1" applyBorder="1" applyAlignment="1">
      <alignment vertical="center" wrapText="1"/>
    </xf>
    <xf numFmtId="1" fontId="59" fillId="0" borderId="1" xfId="0" applyNumberFormat="1" applyFont="1" applyBorder="1" applyAlignment="1">
      <alignment horizontal="right" vertical="center" wrapText="1"/>
    </xf>
    <xf numFmtId="0" fontId="15" fillId="0" borderId="1" xfId="0" applyFont="1" applyBorder="1" applyAlignment="1">
      <alignment horizontal="left" vertical="top" wrapText="1"/>
    </xf>
    <xf numFmtId="2" fontId="13" fillId="5" borderId="1" xfId="0" applyNumberFormat="1" applyFont="1" applyFill="1" applyBorder="1" applyAlignment="1">
      <alignment horizontal="center" vertical="center" wrapText="1"/>
    </xf>
    <xf numFmtId="1" fontId="2" fillId="0" borderId="0" xfId="0" applyNumberFormat="1" applyFont="1"/>
    <xf numFmtId="0" fontId="13" fillId="0" borderId="0" xfId="0" applyFont="1"/>
    <xf numFmtId="1" fontId="13" fillId="0" borderId="0" xfId="0" applyNumberFormat="1" applyFont="1"/>
    <xf numFmtId="0" fontId="16" fillId="0" borderId="0" xfId="0" applyFont="1"/>
    <xf numFmtId="1" fontId="16" fillId="0" borderId="0" xfId="0" applyNumberFormat="1" applyFont="1"/>
    <xf numFmtId="2" fontId="2" fillId="0" borderId="0" xfId="0" applyNumberFormat="1" applyFont="1"/>
    <xf numFmtId="0" fontId="3" fillId="0" borderId="0" xfId="0" applyFont="1" applyAlignment="1">
      <alignment horizontal="center"/>
    </xf>
    <xf numFmtId="0" fontId="13" fillId="0" borderId="0" xfId="0" applyFont="1" applyAlignment="1">
      <alignment horizontal="center"/>
    </xf>
    <xf numFmtId="17" fontId="13" fillId="5" borderId="1" xfId="0" applyNumberFormat="1" applyFont="1" applyFill="1" applyBorder="1" applyAlignment="1">
      <alignment horizontal="center" vertical="center" wrapText="1"/>
    </xf>
    <xf numFmtId="0" fontId="4" fillId="5" borderId="1" xfId="0" applyFont="1" applyFill="1" applyBorder="1" applyAlignment="1">
      <alignment horizontal="right" vertical="center" wrapText="1"/>
    </xf>
    <xf numFmtId="2" fontId="4" fillId="5" borderId="1" xfId="0" applyNumberFormat="1" applyFont="1" applyFill="1" applyBorder="1" applyAlignment="1">
      <alignment horizontal="right" vertical="center" wrapText="1"/>
    </xf>
    <xf numFmtId="2" fontId="10" fillId="5" borderId="1" xfId="0" applyNumberFormat="1" applyFont="1" applyFill="1" applyBorder="1" applyAlignment="1">
      <alignment horizontal="right" vertical="center" wrapText="1"/>
    </xf>
    <xf numFmtId="0" fontId="10" fillId="5" borderId="1" xfId="0" applyFont="1" applyFill="1" applyBorder="1" applyAlignment="1">
      <alignment horizontal="right" vertical="top"/>
    </xf>
    <xf numFmtId="0" fontId="10" fillId="5" borderId="1" xfId="0" applyFont="1" applyFill="1" applyBorder="1" applyAlignment="1">
      <alignment horizontal="left" vertical="top"/>
    </xf>
    <xf numFmtId="0" fontId="4" fillId="5" borderId="1" xfId="0" applyFont="1" applyFill="1" applyBorder="1" applyAlignment="1">
      <alignment horizontal="center" vertical="center" wrapText="1"/>
    </xf>
    <xf numFmtId="0" fontId="4" fillId="0" borderId="5" xfId="0" applyFont="1" applyBorder="1" applyAlignment="1">
      <alignment vertical="top" wrapText="1"/>
    </xf>
    <xf numFmtId="0" fontId="11" fillId="0" borderId="1" xfId="0" applyFont="1" applyBorder="1" applyAlignment="1">
      <alignment vertical="top" wrapText="1"/>
    </xf>
    <xf numFmtId="0" fontId="4" fillId="3" borderId="5" xfId="0" applyFont="1" applyFill="1" applyBorder="1" applyAlignment="1">
      <alignment vertical="top" wrapText="1"/>
    </xf>
    <xf numFmtId="0" fontId="4" fillId="3" borderId="1" xfId="0" applyFont="1" applyFill="1" applyBorder="1" applyAlignment="1">
      <alignment vertical="top" wrapText="1"/>
    </xf>
    <xf numFmtId="2" fontId="62" fillId="5" borderId="1" xfId="0" applyNumberFormat="1" applyFont="1" applyFill="1" applyBorder="1" applyAlignment="1">
      <alignment horizontal="center" vertical="center" wrapText="1"/>
    </xf>
    <xf numFmtId="2" fontId="3" fillId="15" borderId="1" xfId="0" applyNumberFormat="1" applyFont="1" applyFill="1" applyBorder="1" applyAlignment="1">
      <alignment horizontal="center" vertical="center" wrapText="1"/>
    </xf>
    <xf numFmtId="14" fontId="6" fillId="15" borderId="1" xfId="0" applyNumberFormat="1" applyFont="1" applyFill="1" applyBorder="1" applyAlignment="1">
      <alignment horizontal="center" vertical="center" wrapText="1"/>
    </xf>
    <xf numFmtId="1" fontId="10" fillId="5" borderId="1" xfId="0" applyNumberFormat="1" applyFont="1" applyFill="1" applyBorder="1" applyAlignment="1">
      <alignment horizontal="right" vertical="center" wrapText="1"/>
    </xf>
    <xf numFmtId="2" fontId="10" fillId="5" borderId="1" xfId="0" applyNumberFormat="1" applyFont="1" applyFill="1" applyBorder="1" applyAlignment="1">
      <alignment horizontal="center" vertical="center" wrapText="1"/>
    </xf>
    <xf numFmtId="0" fontId="63" fillId="5" borderId="1" xfId="0" applyFont="1" applyFill="1" applyBorder="1" applyAlignment="1">
      <alignment horizontal="center" vertical="center" wrapText="1"/>
    </xf>
    <xf numFmtId="9" fontId="6" fillId="5" borderId="1" xfId="0" applyNumberFormat="1" applyFont="1" applyFill="1" applyBorder="1" applyAlignment="1">
      <alignment horizontal="center" vertical="center" wrapText="1"/>
    </xf>
    <xf numFmtId="9" fontId="64" fillId="5" borderId="1" xfId="0" applyNumberFormat="1" applyFont="1" applyFill="1" applyBorder="1" applyAlignment="1">
      <alignment horizontal="center" vertical="center" wrapText="1"/>
    </xf>
    <xf numFmtId="0" fontId="11" fillId="0" borderId="1" xfId="0" applyFont="1" applyBorder="1" applyAlignment="1">
      <alignment horizontal="center" vertical="center" wrapText="1"/>
    </xf>
    <xf numFmtId="0" fontId="32" fillId="3" borderId="1" xfId="0" applyFont="1" applyFill="1" applyBorder="1" applyAlignment="1">
      <alignment horizontal="center" vertical="center" wrapText="1"/>
    </xf>
    <xf numFmtId="14" fontId="3" fillId="3" borderId="1" xfId="0" applyNumberFormat="1" applyFont="1" applyFill="1" applyBorder="1" applyAlignment="1">
      <alignment horizontal="center" vertical="center" wrapText="1"/>
    </xf>
    <xf numFmtId="17" fontId="3" fillId="3" borderId="1" xfId="0" applyNumberFormat="1" applyFont="1" applyFill="1" applyBorder="1" applyAlignment="1">
      <alignment horizontal="center" vertical="center" wrapText="1"/>
    </xf>
    <xf numFmtId="1" fontId="3" fillId="3" borderId="1" xfId="0" applyNumberFormat="1" applyFont="1" applyFill="1" applyBorder="1" applyAlignment="1">
      <alignment horizontal="right" vertical="center" wrapText="1"/>
    </xf>
    <xf numFmtId="2" fontId="3" fillId="3" borderId="1" xfId="0" applyNumberFormat="1" applyFont="1" applyFill="1" applyBorder="1" applyAlignment="1">
      <alignment horizontal="center" vertical="center" wrapText="1"/>
    </xf>
    <xf numFmtId="0" fontId="32" fillId="4" borderId="1" xfId="0" applyFont="1" applyFill="1" applyBorder="1" applyAlignment="1">
      <alignment horizontal="center" vertical="center" wrapText="1"/>
    </xf>
    <xf numFmtId="17" fontId="3" fillId="4" borderId="1" xfId="0" applyNumberFormat="1" applyFont="1" applyFill="1" applyBorder="1" applyAlignment="1">
      <alignment horizontal="center" vertical="center" wrapText="1"/>
    </xf>
    <xf numFmtId="1" fontId="3" fillId="4" borderId="1" xfId="0" applyNumberFormat="1" applyFont="1" applyFill="1" applyBorder="1" applyAlignment="1">
      <alignment horizontal="right" vertical="center" wrapText="1"/>
    </xf>
    <xf numFmtId="2" fontId="3" fillId="4" borderId="1" xfId="0" applyNumberFormat="1" applyFont="1" applyFill="1" applyBorder="1" applyAlignment="1">
      <alignment horizontal="center" vertical="center" wrapText="1"/>
    </xf>
    <xf numFmtId="0" fontId="4" fillId="17" borderId="1" xfId="0" applyFont="1" applyFill="1" applyBorder="1" applyAlignment="1">
      <alignment horizontal="center" vertical="top" wrapText="1"/>
    </xf>
    <xf numFmtId="0" fontId="4" fillId="17" borderId="1" xfId="0" applyFont="1" applyFill="1" applyBorder="1" applyAlignment="1">
      <alignment horizontal="left" vertical="center" wrapText="1"/>
    </xf>
    <xf numFmtId="0" fontId="4" fillId="1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17" fontId="3" fillId="18" borderId="1" xfId="0" applyNumberFormat="1" applyFont="1" applyFill="1" applyBorder="1" applyAlignment="1">
      <alignment horizontal="center" vertical="center" wrapText="1"/>
    </xf>
    <xf numFmtId="1" fontId="6" fillId="18" borderId="1" xfId="0" applyNumberFormat="1" applyFont="1" applyFill="1" applyBorder="1" applyAlignment="1">
      <alignment horizontal="right" vertical="center" wrapText="1"/>
    </xf>
    <xf numFmtId="2" fontId="3" fillId="18" borderId="1" xfId="0" applyNumberFormat="1" applyFont="1" applyFill="1" applyBorder="1" applyAlignment="1">
      <alignment horizontal="center" vertical="center" wrapText="1"/>
    </xf>
    <xf numFmtId="0" fontId="3" fillId="19" borderId="1" xfId="0" applyFont="1" applyFill="1" applyBorder="1" applyAlignment="1">
      <alignment horizontal="center" vertical="center" wrapText="1"/>
    </xf>
    <xf numFmtId="17" fontId="3" fillId="19" borderId="1" xfId="0" applyNumberFormat="1" applyFont="1" applyFill="1" applyBorder="1" applyAlignment="1">
      <alignment horizontal="center" vertical="center" wrapText="1"/>
    </xf>
    <xf numFmtId="1" fontId="6" fillId="19" borderId="1" xfId="0" applyNumberFormat="1" applyFont="1" applyFill="1" applyBorder="1" applyAlignment="1">
      <alignment horizontal="right" vertical="center" wrapText="1"/>
    </xf>
    <xf numFmtId="2" fontId="3" fillId="19" borderId="1" xfId="0" applyNumberFormat="1" applyFont="1" applyFill="1" applyBorder="1" applyAlignment="1">
      <alignment horizontal="center" vertical="center" wrapText="1"/>
    </xf>
    <xf numFmtId="0" fontId="11" fillId="15" borderId="1" xfId="0" applyFont="1" applyFill="1" applyBorder="1" applyAlignment="1">
      <alignment horizontal="center" vertical="center" wrapText="1"/>
    </xf>
    <xf numFmtId="0" fontId="63" fillId="15" borderId="1" xfId="0" applyFont="1" applyFill="1" applyBorder="1" applyAlignment="1">
      <alignment horizontal="center" vertical="center" wrapText="1"/>
    </xf>
    <xf numFmtId="0" fontId="6" fillId="15" borderId="1" xfId="0" applyFont="1" applyFill="1" applyBorder="1" applyAlignment="1">
      <alignment horizontal="left" vertical="center" wrapText="1"/>
    </xf>
    <xf numFmtId="2" fontId="6" fillId="15" borderId="1" xfId="0" applyNumberFormat="1" applyFont="1" applyFill="1" applyBorder="1" applyAlignment="1">
      <alignment horizontal="center" vertical="center" wrapText="1"/>
    </xf>
    <xf numFmtId="0" fontId="10" fillId="20" borderId="1" xfId="0" applyFont="1" applyFill="1" applyBorder="1" applyAlignment="1">
      <alignment vertical="top" wrapText="1"/>
    </xf>
    <xf numFmtId="0" fontId="51" fillId="20" borderId="1" xfId="0" applyFont="1" applyFill="1" applyBorder="1" applyAlignment="1">
      <alignment horizontal="center" vertical="center" wrapText="1"/>
    </xf>
    <xf numFmtId="14" fontId="12" fillId="20" borderId="1" xfId="0" applyNumberFormat="1" applyFont="1" applyFill="1" applyBorder="1" applyAlignment="1">
      <alignment horizontal="center" vertical="center" wrapText="1"/>
    </xf>
    <xf numFmtId="17" fontId="12" fillId="20" borderId="1" xfId="0" applyNumberFormat="1" applyFont="1" applyFill="1" applyBorder="1" applyAlignment="1">
      <alignment horizontal="center" vertical="center" wrapText="1"/>
    </xf>
    <xf numFmtId="1" fontId="12" fillId="20" borderId="1" xfId="0" applyNumberFormat="1" applyFont="1" applyFill="1" applyBorder="1" applyAlignment="1">
      <alignment horizontal="right" vertical="center" wrapText="1"/>
    </xf>
    <xf numFmtId="2" fontId="12" fillId="20" borderId="1" xfId="0" applyNumberFormat="1" applyFont="1" applyFill="1" applyBorder="1" applyAlignment="1">
      <alignment horizontal="center" vertical="center" wrapText="1"/>
    </xf>
    <xf numFmtId="0" fontId="32" fillId="20" borderId="1" xfId="0" applyFont="1" applyFill="1" applyBorder="1" applyAlignment="1">
      <alignment horizontal="center" vertical="center" wrapText="1"/>
    </xf>
    <xf numFmtId="14" fontId="3" fillId="20" borderId="1" xfId="0" applyNumberFormat="1" applyFont="1" applyFill="1" applyBorder="1" applyAlignment="1">
      <alignment horizontal="center" vertical="center" wrapText="1"/>
    </xf>
    <xf numFmtId="17" fontId="3" fillId="20" borderId="1" xfId="0" applyNumberFormat="1" applyFont="1" applyFill="1" applyBorder="1" applyAlignment="1">
      <alignment horizontal="center" vertical="center" wrapText="1"/>
    </xf>
    <xf numFmtId="1" fontId="65" fillId="0" borderId="1" xfId="0" applyNumberFormat="1" applyFont="1" applyBorder="1" applyAlignment="1">
      <alignment horizontal="right" vertical="center"/>
    </xf>
    <xf numFmtId="0" fontId="37" fillId="0" borderId="2" xfId="0" applyFont="1" applyBorder="1" applyAlignment="1">
      <alignment horizontal="center" vertical="top" wrapText="1"/>
    </xf>
    <xf numFmtId="0" fontId="37" fillId="0" borderId="29" xfId="0" applyFont="1" applyBorder="1" applyAlignment="1">
      <alignment horizontal="center" vertical="top" wrapText="1"/>
    </xf>
    <xf numFmtId="14" fontId="6" fillId="7" borderId="1" xfId="0" applyNumberFormat="1" applyFont="1" applyFill="1" applyBorder="1" applyAlignment="1">
      <alignment horizontal="center" vertical="center" wrapText="1"/>
    </xf>
    <xf numFmtId="0" fontId="11" fillId="7" borderId="1" xfId="0" applyFont="1" applyFill="1" applyBorder="1" applyAlignment="1">
      <alignment vertical="top" wrapText="1"/>
    </xf>
    <xf numFmtId="0" fontId="66" fillId="7" borderId="1" xfId="0" applyFont="1" applyFill="1" applyBorder="1" applyAlignment="1">
      <alignment vertical="top"/>
    </xf>
    <xf numFmtId="0" fontId="11" fillId="7" borderId="1" xfId="0" applyFont="1" applyFill="1" applyBorder="1" applyAlignment="1">
      <alignment horizontal="center" vertical="top" wrapText="1"/>
    </xf>
    <xf numFmtId="0" fontId="11" fillId="7" borderId="1" xfId="0" applyFont="1" applyFill="1" applyBorder="1" applyAlignment="1">
      <alignment horizontal="left" vertical="center" wrapText="1"/>
    </xf>
    <xf numFmtId="0" fontId="11" fillId="7" borderId="1" xfId="0" applyFont="1" applyFill="1" applyBorder="1" applyAlignment="1">
      <alignment horizontal="center" vertical="center" wrapText="1"/>
    </xf>
    <xf numFmtId="0" fontId="11" fillId="7" borderId="5" xfId="0" applyFont="1" applyFill="1" applyBorder="1" applyAlignment="1">
      <alignment vertical="top" wrapText="1"/>
    </xf>
    <xf numFmtId="0" fontId="6" fillId="7" borderId="1" xfId="0" applyFont="1" applyFill="1" applyBorder="1" applyAlignment="1">
      <alignment horizontal="right" vertical="center" wrapText="1"/>
    </xf>
    <xf numFmtId="2" fontId="64" fillId="7" borderId="1" xfId="0" applyNumberFormat="1" applyFont="1" applyFill="1" applyBorder="1" applyAlignment="1">
      <alignment horizontal="center" vertical="center" wrapText="1"/>
    </xf>
    <xf numFmtId="2" fontId="67" fillId="7" borderId="1" xfId="0" applyNumberFormat="1" applyFont="1" applyFill="1" applyBorder="1" applyAlignment="1">
      <alignment horizontal="center" vertical="center" wrapText="1"/>
    </xf>
    <xf numFmtId="0" fontId="68" fillId="7" borderId="1" xfId="0" applyFont="1" applyFill="1" applyBorder="1" applyAlignment="1">
      <alignment horizontal="center" vertical="center" wrapText="1"/>
    </xf>
    <xf numFmtId="0" fontId="63" fillId="7" borderId="1" xfId="0" applyFont="1" applyFill="1" applyBorder="1" applyAlignment="1">
      <alignment horizontal="center" vertical="center" wrapText="1"/>
    </xf>
    <xf numFmtId="9" fontId="6" fillId="7" borderId="1" xfId="0" applyNumberFormat="1" applyFont="1" applyFill="1" applyBorder="1" applyAlignment="1">
      <alignment horizontal="center" vertical="center" wrapText="1"/>
    </xf>
    <xf numFmtId="1" fontId="11" fillId="7" borderId="1" xfId="0" applyNumberFormat="1" applyFont="1" applyFill="1" applyBorder="1" applyAlignment="1">
      <alignment horizontal="right" vertical="center" wrapText="1"/>
    </xf>
    <xf numFmtId="9" fontId="64" fillId="7" borderId="1" xfId="0" applyNumberFormat="1" applyFont="1" applyFill="1" applyBorder="1" applyAlignment="1">
      <alignment horizontal="center" vertical="center" wrapText="1"/>
    </xf>
    <xf numFmtId="17" fontId="67" fillId="7" borderId="1" xfId="0" applyNumberFormat="1" applyFont="1" applyFill="1" applyBorder="1" applyAlignment="1">
      <alignment horizontal="center" vertical="center" wrapText="1"/>
    </xf>
    <xf numFmtId="0" fontId="11" fillId="7" borderId="1" xfId="0" applyFont="1" applyFill="1" applyBorder="1" applyAlignment="1">
      <alignment vertical="center" wrapText="1"/>
    </xf>
    <xf numFmtId="0" fontId="11" fillId="7" borderId="1" xfId="0" applyFont="1" applyFill="1" applyBorder="1" applyAlignment="1">
      <alignment horizontal="left" vertical="top" wrapText="1"/>
    </xf>
    <xf numFmtId="0" fontId="6" fillId="7" borderId="1" xfId="0" applyFont="1" applyFill="1" applyBorder="1" applyAlignment="1">
      <alignment horizontal="left" vertical="center" wrapText="1"/>
    </xf>
    <xf numFmtId="0" fontId="6" fillId="7" borderId="0" xfId="0" applyFont="1" applyFill="1" applyAlignment="1">
      <alignment horizontal="left" vertical="center"/>
    </xf>
    <xf numFmtId="1" fontId="6" fillId="7" borderId="1" xfId="0" applyNumberFormat="1" applyFont="1" applyFill="1" applyBorder="1" applyAlignment="1">
      <alignment horizontal="right" vertical="top" wrapText="1"/>
    </xf>
    <xf numFmtId="0" fontId="6" fillId="7" borderId="1" xfId="0" applyFont="1" applyFill="1" applyBorder="1" applyAlignment="1">
      <alignment horizontal="center" vertical="top" wrapText="1"/>
    </xf>
    <xf numFmtId="14" fontId="6" fillId="7" borderId="1" xfId="0" applyNumberFormat="1" applyFont="1" applyFill="1" applyBorder="1" applyAlignment="1">
      <alignment horizontal="center" vertical="top" wrapText="1"/>
    </xf>
    <xf numFmtId="0" fontId="6" fillId="7" borderId="1" xfId="0" applyFont="1" applyFill="1" applyBorder="1" applyAlignment="1">
      <alignment horizontal="left" vertical="center"/>
    </xf>
    <xf numFmtId="1" fontId="6" fillId="7" borderId="1" xfId="0" applyNumberFormat="1" applyFont="1" applyFill="1" applyBorder="1" applyAlignment="1">
      <alignment horizontal="left" vertical="center"/>
    </xf>
    <xf numFmtId="1" fontId="6" fillId="7" borderId="1" xfId="0" applyNumberFormat="1" applyFont="1" applyFill="1" applyBorder="1" applyAlignment="1">
      <alignment vertical="top"/>
    </xf>
    <xf numFmtId="0" fontId="6" fillId="7" borderId="1" xfId="0" applyFont="1" applyFill="1" applyBorder="1" applyAlignment="1">
      <alignment horizontal="left" vertical="top" wrapText="1"/>
    </xf>
    <xf numFmtId="2" fontId="11" fillId="7" borderId="1" xfId="0" applyNumberFormat="1" applyFont="1" applyFill="1" applyBorder="1" applyAlignment="1">
      <alignment horizontal="right" vertical="center" wrapText="1"/>
    </xf>
    <xf numFmtId="0" fontId="11" fillId="7" borderId="1" xfId="0" applyFont="1" applyFill="1" applyBorder="1" applyAlignment="1">
      <alignment horizontal="right" vertical="top"/>
    </xf>
    <xf numFmtId="0" fontId="6" fillId="7" borderId="0" xfId="0" applyFont="1" applyFill="1" applyAlignment="1">
      <alignment horizontal="center" vertical="top"/>
    </xf>
    <xf numFmtId="0" fontId="6" fillId="7" borderId="0" xfId="0" applyFont="1" applyFill="1" applyAlignment="1">
      <alignment horizontal="left" vertical="top"/>
    </xf>
    <xf numFmtId="0" fontId="6" fillId="7" borderId="9" xfId="0" applyFont="1" applyFill="1" applyBorder="1" applyAlignment="1">
      <alignment horizontal="center" vertical="top"/>
    </xf>
    <xf numFmtId="0" fontId="6" fillId="7" borderId="10" xfId="0" applyFont="1" applyFill="1" applyBorder="1" applyAlignment="1">
      <alignment horizontal="left" vertical="top"/>
    </xf>
    <xf numFmtId="0" fontId="6" fillId="7" borderId="10" xfId="0" applyFont="1" applyFill="1" applyBorder="1" applyAlignment="1">
      <alignment horizontal="center" vertical="top"/>
    </xf>
    <xf numFmtId="0" fontId="11" fillId="7" borderId="1" xfId="0" applyFont="1" applyFill="1" applyBorder="1" applyAlignment="1">
      <alignment horizontal="center" vertical="top"/>
    </xf>
    <xf numFmtId="1" fontId="6" fillId="7" borderId="1" xfId="0" applyNumberFormat="1" applyFont="1" applyFill="1" applyBorder="1" applyAlignment="1">
      <alignment horizontal="center" vertical="center" wrapText="1"/>
    </xf>
    <xf numFmtId="1" fontId="6" fillId="7" borderId="1" xfId="0" applyNumberFormat="1" applyFont="1" applyFill="1" applyBorder="1" applyAlignment="1">
      <alignment horizontal="right" vertical="top"/>
    </xf>
    <xf numFmtId="1" fontId="6" fillId="7" borderId="0" xfId="0" applyNumberFormat="1" applyFont="1" applyFill="1" applyAlignment="1">
      <alignment horizontal="center" vertical="top"/>
    </xf>
    <xf numFmtId="1" fontId="66" fillId="7" borderId="10" xfId="0" applyNumberFormat="1" applyFont="1" applyFill="1" applyBorder="1" applyAlignment="1">
      <alignment horizontal="right" vertical="top"/>
    </xf>
    <xf numFmtId="1" fontId="6" fillId="7" borderId="10" xfId="0" applyNumberFormat="1" applyFont="1" applyFill="1" applyBorder="1" applyAlignment="1">
      <alignment horizontal="right" vertical="top"/>
    </xf>
    <xf numFmtId="1" fontId="11" fillId="7" borderId="10" xfId="0" applyNumberFormat="1" applyFont="1" applyFill="1" applyBorder="1" applyAlignment="1">
      <alignment horizontal="right" vertical="top"/>
    </xf>
    <xf numFmtId="1" fontId="3" fillId="4" borderId="1" xfId="0" applyNumberFormat="1" applyFont="1" applyFill="1" applyBorder="1" applyAlignment="1">
      <alignment horizontal="right" vertical="center"/>
    </xf>
    <xf numFmtId="0" fontId="12" fillId="4" borderId="1" xfId="0" applyFont="1" applyFill="1" applyBorder="1" applyAlignment="1">
      <alignment horizontal="right" vertical="center" wrapText="1"/>
    </xf>
    <xf numFmtId="0" fontId="3" fillId="4" borderId="1" xfId="0" applyFont="1" applyFill="1" applyBorder="1" applyAlignment="1">
      <alignment horizontal="left" vertical="center"/>
    </xf>
    <xf numFmtId="1" fontId="30" fillId="4" borderId="1" xfId="0" applyNumberFormat="1" applyFont="1" applyFill="1" applyBorder="1" applyAlignment="1">
      <alignment horizontal="right" vertical="center"/>
    </xf>
    <xf numFmtId="1" fontId="12" fillId="4" borderId="1" xfId="0" applyNumberFormat="1" applyFont="1" applyFill="1" applyBorder="1" applyAlignment="1">
      <alignment horizontal="right" vertical="center" wrapText="1"/>
    </xf>
    <xf numFmtId="1" fontId="65" fillId="4" borderId="1" xfId="0" applyNumberFormat="1" applyFont="1" applyFill="1" applyBorder="1" applyAlignment="1">
      <alignment horizontal="right" vertical="center"/>
    </xf>
    <xf numFmtId="1" fontId="43" fillId="4" borderId="1" xfId="0" applyNumberFormat="1" applyFont="1" applyFill="1" applyBorder="1" applyAlignment="1">
      <alignment horizontal="right" vertical="top"/>
    </xf>
    <xf numFmtId="1" fontId="43" fillId="4"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center"/>
    </xf>
    <xf numFmtId="1" fontId="3" fillId="4" borderId="0" xfId="0" applyNumberFormat="1" applyFont="1" applyFill="1" applyAlignment="1">
      <alignment horizontal="right" vertical="top"/>
    </xf>
    <xf numFmtId="1" fontId="4" fillId="4" borderId="10" xfId="0" applyNumberFormat="1" applyFont="1" applyFill="1" applyBorder="1" applyAlignment="1">
      <alignment horizontal="right" vertical="top"/>
    </xf>
    <xf numFmtId="0" fontId="3" fillId="4" borderId="3" xfId="0" applyFont="1" applyFill="1" applyBorder="1" applyAlignment="1">
      <alignment horizontal="left" vertical="top"/>
    </xf>
    <xf numFmtId="0" fontId="54" fillId="4" borderId="1" xfId="0" applyFont="1" applyFill="1" applyBorder="1" applyAlignment="1">
      <alignment horizontal="left" vertical="top"/>
    </xf>
    <xf numFmtId="1" fontId="42" fillId="4" borderId="1" xfId="0" applyNumberFormat="1" applyFont="1" applyFill="1" applyBorder="1" applyAlignment="1">
      <alignment horizontal="right" vertical="center" wrapText="1"/>
    </xf>
    <xf numFmtId="0" fontId="3" fillId="4" borderId="0" xfId="0" applyFont="1" applyFill="1" applyAlignment="1">
      <alignment horizontal="right" vertical="top"/>
    </xf>
    <xf numFmtId="0" fontId="4" fillId="14" borderId="1" xfId="0" applyFont="1" applyFill="1" applyBorder="1" applyAlignment="1">
      <alignment horizontal="center" vertical="center" wrapText="1"/>
    </xf>
    <xf numFmtId="1" fontId="3" fillId="14" borderId="1" xfId="0" applyNumberFormat="1" applyFont="1" applyFill="1" applyBorder="1" applyAlignment="1">
      <alignment horizontal="right" vertical="center"/>
    </xf>
    <xf numFmtId="0" fontId="3" fillId="14" borderId="1" xfId="0" applyFont="1" applyFill="1" applyBorder="1" applyAlignment="1">
      <alignment horizontal="right" vertical="center" wrapText="1"/>
    </xf>
    <xf numFmtId="1" fontId="43" fillId="14" borderId="1" xfId="0" applyNumberFormat="1" applyFont="1" applyFill="1" applyBorder="1" applyAlignment="1">
      <alignment horizontal="right" vertical="center"/>
    </xf>
    <xf numFmtId="0" fontId="3" fillId="14" borderId="0" xfId="0" applyFont="1" applyFill="1" applyAlignment="1">
      <alignment horizontal="left" vertical="top"/>
    </xf>
    <xf numFmtId="1" fontId="4" fillId="14" borderId="1" xfId="0" applyNumberFormat="1" applyFont="1" applyFill="1" applyBorder="1" applyAlignment="1">
      <alignment horizontal="right" vertical="center"/>
    </xf>
    <xf numFmtId="0" fontId="3" fillId="14" borderId="1" xfId="0" applyFont="1" applyFill="1" applyBorder="1" applyAlignment="1">
      <alignment horizontal="left" vertical="top"/>
    </xf>
    <xf numFmtId="0" fontId="54" fillId="9" borderId="2" xfId="0" applyFont="1" applyFill="1" applyBorder="1" applyAlignment="1">
      <alignment horizontal="left" vertical="top"/>
    </xf>
    <xf numFmtId="0" fontId="3" fillId="9" borderId="2" xfId="0" applyFont="1" applyFill="1" applyBorder="1" applyAlignment="1">
      <alignment horizontal="left" vertical="top"/>
    </xf>
    <xf numFmtId="1" fontId="42" fillId="9" borderId="2" xfId="0" applyNumberFormat="1" applyFont="1" applyFill="1" applyBorder="1" applyAlignment="1">
      <alignment horizontal="right" vertical="center" wrapText="1"/>
    </xf>
    <xf numFmtId="1" fontId="3" fillId="14" borderId="1" xfId="0" applyNumberFormat="1" applyFont="1" applyFill="1" applyBorder="1" applyAlignment="1">
      <alignment horizontal="left" vertical="top"/>
    </xf>
    <xf numFmtId="1" fontId="3" fillId="0" borderId="0" xfId="0" applyNumberFormat="1" applyFont="1" applyAlignment="1">
      <alignment horizontal="center" vertical="top"/>
    </xf>
    <xf numFmtId="0" fontId="37" fillId="0" borderId="2" xfId="0" applyFont="1" applyBorder="1" applyAlignment="1">
      <alignment horizontal="center" vertical="top" wrapText="1"/>
    </xf>
    <xf numFmtId="0" fontId="37" fillId="0" borderId="4" xfId="0" applyFont="1" applyBorder="1" applyAlignment="1">
      <alignment horizontal="center" vertical="top" wrapText="1"/>
    </xf>
    <xf numFmtId="0" fontId="37" fillId="0" borderId="1" xfId="0" applyFont="1" applyBorder="1" applyAlignment="1">
      <alignment horizontal="left" vertical="top" wrapText="1"/>
    </xf>
    <xf numFmtId="0" fontId="3" fillId="5" borderId="1" xfId="0" applyFont="1" applyFill="1" applyBorder="1" applyAlignment="1">
      <alignment horizontal="left" vertical="top" wrapText="1"/>
    </xf>
    <xf numFmtId="0" fontId="37" fillId="0" borderId="1" xfId="0" applyFont="1" applyBorder="1" applyAlignment="1">
      <alignment horizontal="center" vertical="top" wrapText="1"/>
    </xf>
    <xf numFmtId="0" fontId="17" fillId="0" borderId="29" xfId="0" applyFont="1" applyBorder="1" applyAlignment="1">
      <alignment horizontal="center" vertical="top"/>
    </xf>
    <xf numFmtId="0" fontId="17" fillId="0" borderId="32" xfId="0" applyFont="1" applyBorder="1" applyAlignment="1">
      <alignment horizontal="center" vertical="top"/>
    </xf>
    <xf numFmtId="0" fontId="17" fillId="0" borderId="30" xfId="0" applyFont="1" applyBorder="1" applyAlignment="1">
      <alignment horizontal="center" vertical="top"/>
    </xf>
    <xf numFmtId="0" fontId="66" fillId="7" borderId="2" xfId="0" applyFont="1" applyFill="1" applyBorder="1" applyAlignment="1">
      <alignment horizontal="center" vertical="top"/>
    </xf>
    <xf numFmtId="0" fontId="66" fillId="7" borderId="3" xfId="0" applyFont="1" applyFill="1" applyBorder="1" applyAlignment="1">
      <alignment horizontal="center" vertical="top"/>
    </xf>
    <xf numFmtId="0" fontId="66" fillId="7" borderId="4" xfId="0" applyFont="1" applyFill="1" applyBorder="1" applyAlignment="1">
      <alignment horizontal="center" vertical="top"/>
    </xf>
    <xf numFmtId="0" fontId="1" fillId="0" borderId="1" xfId="0" applyFont="1" applyBorder="1" applyAlignment="1">
      <alignment horizontal="center" vertical="top"/>
    </xf>
    <xf numFmtId="0" fontId="7" fillId="5"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4" fillId="0" borderId="1" xfId="0" applyFont="1" applyBorder="1" applyAlignment="1">
      <alignment horizontal="center" vertical="center" wrapText="1"/>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4" fillId="0" borderId="7" xfId="0" applyFont="1" applyBorder="1" applyAlignment="1">
      <alignment horizontal="center" vertical="top" wrapText="1"/>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11" fillId="0" borderId="1" xfId="0" applyFont="1" applyBorder="1" applyAlignment="1">
      <alignment horizontal="left" vertical="top"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7" xfId="0" applyFont="1" applyBorder="1" applyAlignment="1">
      <alignment horizontal="left" vertical="top" wrapText="1"/>
    </xf>
    <xf numFmtId="0" fontId="1" fillId="0" borderId="8" xfId="0" applyFont="1" applyBorder="1" applyAlignment="1">
      <alignment horizontal="center" vertical="top"/>
    </xf>
    <xf numFmtId="0" fontId="37" fillId="0" borderId="1" xfId="0" applyFont="1" applyBorder="1" applyAlignment="1">
      <alignment horizontal="center" wrapText="1"/>
    </xf>
    <xf numFmtId="0" fontId="37" fillId="0" borderId="1" xfId="0" applyFont="1" applyBorder="1" applyAlignment="1">
      <alignment horizontal="right" vertical="top" wrapText="1"/>
    </xf>
    <xf numFmtId="0" fontId="29" fillId="0" borderId="1" xfId="0" applyFont="1" applyBorder="1" applyAlignment="1">
      <alignment horizontal="center" vertical="center" wrapText="1"/>
    </xf>
    <xf numFmtId="0" fontId="29" fillId="0" borderId="1" xfId="0" applyFont="1" applyBorder="1" applyAlignment="1">
      <alignment horizontal="right" vertical="center" wrapText="1"/>
    </xf>
    <xf numFmtId="0" fontId="3" fillId="5" borderId="1" xfId="0" applyFont="1" applyFill="1" applyBorder="1" applyAlignment="1">
      <alignment horizontal="left" vertical="center" wrapText="1"/>
    </xf>
    <xf numFmtId="0" fontId="11" fillId="0" borderId="1" xfId="0" applyFont="1" applyBorder="1" applyAlignment="1">
      <alignment horizontal="center"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0" borderId="7" xfId="0" applyFont="1" applyBorder="1" applyAlignment="1">
      <alignment horizontal="center"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3" fillId="0" borderId="1" xfId="0" applyFont="1" applyBorder="1" applyAlignment="1">
      <alignment horizontal="center" vertical="top" wrapText="1"/>
    </xf>
    <xf numFmtId="0" fontId="10" fillId="0" borderId="1" xfId="0" applyFont="1" applyBorder="1" applyAlignment="1">
      <alignment horizontal="center" vertical="center" wrapText="1"/>
    </xf>
    <xf numFmtId="0" fontId="7" fillId="0" borderId="1" xfId="0" applyFont="1" applyBorder="1" applyAlignment="1">
      <alignment horizontal="center" vertical="center" wrapText="1"/>
    </xf>
    <xf numFmtId="0" fontId="4" fillId="0" borderId="8" xfId="0" applyFont="1" applyBorder="1" applyAlignment="1">
      <alignment horizontal="center" vertical="top"/>
    </xf>
    <xf numFmtId="0" fontId="3" fillId="0" borderId="1" xfId="0" applyFont="1" applyBorder="1" applyAlignment="1">
      <alignment horizontal="center" vertical="center" wrapText="1"/>
    </xf>
    <xf numFmtId="0" fontId="10" fillId="0" borderId="6" xfId="0" applyFont="1" applyBorder="1" applyAlignment="1">
      <alignment horizontal="center" vertical="top" wrapText="1"/>
    </xf>
    <xf numFmtId="0" fontId="10" fillId="0" borderId="7" xfId="0" applyFont="1" applyBorder="1" applyAlignment="1">
      <alignment horizontal="center"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7" xfId="0" applyFont="1" applyBorder="1" applyAlignment="1">
      <alignment horizontal="center" vertical="top" wrapText="1"/>
    </xf>
    <xf numFmtId="17" fontId="4" fillId="0" borderId="2" xfId="0" applyNumberFormat="1" applyFont="1" applyBorder="1" applyAlignment="1">
      <alignment horizontal="right" vertical="top" wrapText="1"/>
    </xf>
    <xf numFmtId="17" fontId="4" fillId="0" borderId="3" xfId="0" applyNumberFormat="1" applyFont="1" applyBorder="1" applyAlignment="1">
      <alignment horizontal="right" vertical="top" wrapText="1"/>
    </xf>
    <xf numFmtId="17" fontId="4" fillId="0" borderId="4" xfId="0" applyNumberFormat="1" applyFont="1" applyBorder="1" applyAlignment="1">
      <alignment horizontal="righ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11" fillId="0" borderId="5" xfId="0" applyFont="1" applyBorder="1" applyAlignment="1">
      <alignment horizontal="left" vertical="top" wrapText="1"/>
    </xf>
    <xf numFmtId="0" fontId="11" fillId="0" borderId="6" xfId="0" applyFont="1" applyBorder="1" applyAlignment="1">
      <alignment horizontal="left" vertical="top" wrapText="1"/>
    </xf>
    <xf numFmtId="0" fontId="11" fillId="0" borderId="7" xfId="0" applyFont="1" applyBorder="1" applyAlignment="1">
      <alignment horizontal="left" vertical="top" wrapText="1"/>
    </xf>
    <xf numFmtId="0" fontId="4" fillId="0" borderId="0" xfId="0" applyFont="1" applyAlignment="1">
      <alignment horizontal="center" vertical="top"/>
    </xf>
    <xf numFmtId="0" fontId="25" fillId="0" borderId="22" xfId="0" applyFont="1" applyBorder="1" applyAlignment="1">
      <alignment horizontal="center" vertical="center" textRotation="180" wrapText="1"/>
    </xf>
    <xf numFmtId="0" fontId="25" fillId="0" borderId="24" xfId="0" applyFont="1" applyBorder="1" applyAlignment="1">
      <alignment horizontal="center" vertical="center" textRotation="180" wrapText="1"/>
    </xf>
    <xf numFmtId="0" fontId="25" fillId="0" borderId="26" xfId="0" applyFont="1" applyBorder="1" applyAlignment="1">
      <alignment horizontal="center" vertical="center" textRotation="180" wrapText="1"/>
    </xf>
    <xf numFmtId="0" fontId="25" fillId="0" borderId="23" xfId="0" applyFont="1" applyBorder="1" applyAlignment="1">
      <alignment horizontal="center" vertical="center" textRotation="90" wrapText="1"/>
    </xf>
    <xf numFmtId="0" fontId="25" fillId="0" borderId="25" xfId="0" applyFont="1" applyBorder="1" applyAlignment="1">
      <alignment horizontal="center" vertical="center" textRotation="90" wrapText="1"/>
    </xf>
    <xf numFmtId="0" fontId="25" fillId="0" borderId="27" xfId="0" applyFont="1" applyBorder="1" applyAlignment="1">
      <alignment horizontal="center" vertical="center" textRotation="90" wrapText="1"/>
    </xf>
    <xf numFmtId="0" fontId="26" fillId="0" borderId="21" xfId="0" applyFont="1" applyBorder="1" applyAlignment="1">
      <alignment horizontal="center" vertical="center" textRotation="180" wrapText="1"/>
    </xf>
    <xf numFmtId="0" fontId="26" fillId="0" borderId="28" xfId="0" applyFont="1" applyBorder="1" applyAlignment="1">
      <alignment horizontal="center" vertical="center" textRotation="180" wrapText="1"/>
    </xf>
    <xf numFmtId="0" fontId="26" fillId="0" borderId="18" xfId="0" applyFont="1" applyBorder="1" applyAlignment="1">
      <alignment horizontal="center" vertical="center" textRotation="180" wrapText="1"/>
    </xf>
    <xf numFmtId="0" fontId="26" fillId="0" borderId="21" xfId="0" applyFont="1" applyBorder="1" applyAlignment="1">
      <alignment horizontal="center" vertical="center" textRotation="90" wrapText="1"/>
    </xf>
    <xf numFmtId="0" fontId="26" fillId="0" borderId="28" xfId="0" applyFont="1" applyBorder="1" applyAlignment="1">
      <alignment horizontal="center" vertical="center" textRotation="90" wrapText="1"/>
    </xf>
    <xf numFmtId="0" fontId="26" fillId="0" borderId="18" xfId="0" applyFont="1" applyBorder="1" applyAlignment="1">
      <alignment horizontal="center" vertical="center" textRotation="90" wrapText="1"/>
    </xf>
    <xf numFmtId="0" fontId="26" fillId="0" borderId="21" xfId="0" applyFont="1" applyBorder="1" applyAlignment="1">
      <alignment vertical="center" textRotation="90" wrapText="1"/>
    </xf>
    <xf numFmtId="0" fontId="26" fillId="0" borderId="28" xfId="0" applyFont="1" applyBorder="1" applyAlignment="1">
      <alignment vertical="center" textRotation="90" wrapText="1"/>
    </xf>
    <xf numFmtId="0" fontId="26" fillId="0" borderId="18" xfId="0" applyFont="1" applyBorder="1" applyAlignment="1">
      <alignment vertical="center" textRotation="90" wrapText="1"/>
    </xf>
  </cellXfs>
  <cellStyles count="1">
    <cellStyle name="Normal" xfId="0" builtinId="0"/>
  </cellStyles>
  <dxfs count="0"/>
  <tableStyles count="0" defaultTableStyle="TableStyleMedium2" defaultPivotStyle="PivotStyleLight16"/>
  <colors>
    <mruColors>
      <color rgb="FFE5F2FF"/>
      <color rgb="FFFFFFCC"/>
      <color rgb="FFD6B8D0"/>
      <color rgb="FFC0E490"/>
      <color rgb="FFB4DF7B"/>
      <color rgb="FFDCF0C2"/>
      <color rgb="FFFFD3A7"/>
      <color rgb="FFFFE1FF"/>
      <color rgb="FFCCECFF"/>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NRD%20052025\MahaSTRIDE%2026\2026-27\CR%20%20Budget%20BE%20%202026-27%20MH%2034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DEMAND"/>
      <sheetName val=" FIELD DEMAND (2)"/>
      <sheetName val="FIELD DETAIL"/>
      <sheetName val=" FIELD DEMAND"/>
      <sheetName val="3451 BE"/>
      <sheetName val="3451A215 BE"/>
      <sheetName val="3451A224BE"/>
      <sheetName val="3451A233 BE"/>
      <sheetName val="3451A215 RE "/>
      <sheetName val="3451A224 RE"/>
      <sheetName val="3451A233 RE"/>
      <sheetName val="IPF"/>
      <sheetName val="P for R"/>
    </sheetNames>
    <sheetDataSet>
      <sheetData sheetId="0"/>
      <sheetData sheetId="1"/>
      <sheetData sheetId="2">
        <row r="39">
          <cell r="N39">
            <v>0</v>
          </cell>
        </row>
      </sheetData>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FD704-D201-4E2D-AAF0-DA63B73A5B36}">
  <sheetPr>
    <tabColor rgb="FF00B050"/>
    <pageSetUpPr fitToPage="1"/>
  </sheetPr>
  <dimension ref="A1:Y122"/>
  <sheetViews>
    <sheetView view="pageBreakPreview" topLeftCell="A25" zoomScale="85" zoomScaleNormal="60" zoomScaleSheetLayoutView="85" workbookViewId="0">
      <selection activeCell="I95" sqref="I95"/>
    </sheetView>
  </sheetViews>
  <sheetFormatPr defaultColWidth="8.6640625" defaultRowHeight="15" x14ac:dyDescent="0.3"/>
  <cols>
    <col min="1" max="1" width="5.5546875" style="4" customWidth="1"/>
    <col min="2" max="2" width="29.44140625" style="5" customWidth="1"/>
    <col min="3" max="3" width="25" style="5" customWidth="1"/>
    <col min="4" max="4" width="14.109375" style="5" customWidth="1"/>
    <col min="5" max="5" width="23.5546875" style="4" customWidth="1"/>
    <col min="6" max="6" width="17.5546875" style="4" customWidth="1"/>
    <col min="7" max="7" width="29.44140625" style="4" hidden="1" customWidth="1"/>
    <col min="8" max="10" width="16.88671875" style="4" customWidth="1"/>
    <col min="11" max="11" width="16" style="4" customWidth="1"/>
    <col min="12" max="12" width="110.88671875" style="5" hidden="1" customWidth="1"/>
    <col min="13" max="13" width="16.6640625" style="5" bestFit="1" customWidth="1"/>
    <col min="14" max="14" width="15" style="5" customWidth="1"/>
    <col min="15" max="15" width="15.44140625" style="5" customWidth="1"/>
    <col min="16" max="16" width="17.5546875" style="5" customWidth="1"/>
    <col min="17" max="25" width="12.109375" style="5" customWidth="1"/>
    <col min="26" max="16384" width="8.6640625" style="5"/>
  </cols>
  <sheetData>
    <row r="1" spans="1:25" ht="17.399999999999999" x14ac:dyDescent="0.3">
      <c r="A1" s="599" t="s">
        <v>0</v>
      </c>
      <c r="B1" s="600"/>
      <c r="C1" s="600"/>
      <c r="D1" s="600"/>
      <c r="E1" s="600"/>
      <c r="F1" s="600"/>
      <c r="G1" s="601"/>
      <c r="H1" s="525"/>
      <c r="I1" s="525"/>
      <c r="J1" s="265"/>
      <c r="K1" s="265"/>
      <c r="L1" s="265"/>
      <c r="M1" s="602" t="s">
        <v>1</v>
      </c>
      <c r="N1" s="602"/>
      <c r="O1" s="602" t="s">
        <v>2</v>
      </c>
      <c r="P1" s="602"/>
      <c r="Q1" s="602" t="s">
        <v>3</v>
      </c>
      <c r="R1" s="602"/>
      <c r="S1" s="602"/>
      <c r="T1" s="602"/>
      <c r="U1" s="602"/>
      <c r="V1" s="602"/>
      <c r="W1" s="602"/>
      <c r="X1" s="602"/>
      <c r="Y1" s="602"/>
    </row>
    <row r="2" spans="1:25" s="10" customFormat="1" ht="30.9" customHeight="1" x14ac:dyDescent="0.3">
      <c r="A2" s="526" t="s">
        <v>4</v>
      </c>
      <c r="B2" s="527" t="s">
        <v>5</v>
      </c>
      <c r="C2" s="528" t="s">
        <v>6</v>
      </c>
      <c r="D2" s="528" t="s">
        <v>7</v>
      </c>
      <c r="E2" s="528" t="s">
        <v>8</v>
      </c>
      <c r="F2" s="528" t="s">
        <v>9</v>
      </c>
      <c r="G2" s="528" t="s">
        <v>10</v>
      </c>
      <c r="H2" s="528" t="s">
        <v>11</v>
      </c>
      <c r="I2" s="528" t="s">
        <v>12</v>
      </c>
      <c r="J2" s="58"/>
      <c r="K2" s="58" t="s">
        <v>13</v>
      </c>
      <c r="L2" s="58" t="s">
        <v>14</v>
      </c>
      <c r="M2" s="58" t="s">
        <v>15</v>
      </c>
      <c r="N2" s="58" t="s">
        <v>16</v>
      </c>
      <c r="O2" s="58" t="s">
        <v>15</v>
      </c>
      <c r="P2" s="58" t="s">
        <v>16</v>
      </c>
      <c r="Q2" s="58" t="s">
        <v>17</v>
      </c>
      <c r="R2" s="58" t="s">
        <v>15</v>
      </c>
      <c r="S2" s="58" t="s">
        <v>18</v>
      </c>
      <c r="T2" s="58" t="s">
        <v>19</v>
      </c>
      <c r="U2" s="58" t="s">
        <v>20</v>
      </c>
      <c r="V2" s="58" t="s">
        <v>16</v>
      </c>
      <c r="W2" s="58" t="s">
        <v>21</v>
      </c>
      <c r="X2" s="58" t="s">
        <v>22</v>
      </c>
      <c r="Y2" s="58" t="s">
        <v>23</v>
      </c>
    </row>
    <row r="3" spans="1:25" ht="18" customHeight="1" x14ac:dyDescent="0.3">
      <c r="A3" s="526">
        <v>1</v>
      </c>
      <c r="B3" s="529" t="s">
        <v>24</v>
      </c>
      <c r="C3" s="275" t="s">
        <v>25</v>
      </c>
      <c r="D3" s="275" t="s">
        <v>26</v>
      </c>
      <c r="E3" s="275" t="s">
        <v>27</v>
      </c>
      <c r="F3" s="530">
        <v>3657952</v>
      </c>
      <c r="G3" s="531" t="s">
        <v>28</v>
      </c>
      <c r="H3" s="530"/>
      <c r="I3" s="530">
        <f>F3</f>
        <v>3657952</v>
      </c>
      <c r="J3" s="201">
        <f>F3-H3-I3</f>
        <v>0</v>
      </c>
      <c r="K3" s="198"/>
      <c r="L3" s="143"/>
      <c r="M3" s="72"/>
      <c r="N3" s="72"/>
      <c r="O3" s="72">
        <f>H3</f>
        <v>0</v>
      </c>
      <c r="P3" s="72"/>
      <c r="Q3" s="72"/>
      <c r="R3" s="72"/>
      <c r="S3" s="72"/>
      <c r="T3" s="72"/>
      <c r="U3" s="72"/>
      <c r="V3" s="72"/>
      <c r="W3" s="72"/>
      <c r="X3" s="72"/>
      <c r="Y3" s="72"/>
    </row>
    <row r="4" spans="1:25" ht="18" customHeight="1" x14ac:dyDescent="0.3">
      <c r="A4" s="526"/>
      <c r="B4" s="529" t="s">
        <v>24</v>
      </c>
      <c r="C4" s="275" t="s">
        <v>29</v>
      </c>
      <c r="D4" s="523">
        <v>46184</v>
      </c>
      <c r="E4" s="276" t="s">
        <v>30</v>
      </c>
      <c r="F4" s="530">
        <v>970255</v>
      </c>
      <c r="G4" s="530">
        <v>970255</v>
      </c>
      <c r="H4" s="530">
        <v>970255</v>
      </c>
      <c r="I4" s="530"/>
      <c r="J4" s="201">
        <f t="shared" ref="J4:J58" si="0">F4-H4-I4</f>
        <v>0</v>
      </c>
      <c r="K4" s="198" t="s">
        <v>31</v>
      </c>
      <c r="L4" s="143"/>
      <c r="M4" s="341">
        <f>H4</f>
        <v>970255</v>
      </c>
      <c r="N4" s="72"/>
      <c r="O4" s="72"/>
      <c r="P4" s="72"/>
      <c r="Q4" s="72"/>
      <c r="R4" s="72"/>
      <c r="S4" s="72"/>
      <c r="T4" s="72"/>
      <c r="U4" s="72"/>
      <c r="V4" s="72"/>
      <c r="W4" s="72"/>
      <c r="X4" s="72"/>
      <c r="Y4" s="72"/>
    </row>
    <row r="5" spans="1:25" ht="18" customHeight="1" x14ac:dyDescent="0.3">
      <c r="A5" s="526">
        <v>2</v>
      </c>
      <c r="B5" s="524" t="s">
        <v>32</v>
      </c>
      <c r="C5" s="275" t="s">
        <v>33</v>
      </c>
      <c r="D5" s="523">
        <v>46160</v>
      </c>
      <c r="E5" s="276">
        <v>46023</v>
      </c>
      <c r="F5" s="530">
        <v>4633825</v>
      </c>
      <c r="G5" s="281" t="s">
        <v>34</v>
      </c>
      <c r="H5" s="530">
        <v>4633825</v>
      </c>
      <c r="I5" s="530"/>
      <c r="J5" s="201">
        <f t="shared" si="0"/>
        <v>0</v>
      </c>
      <c r="K5" s="198" t="s">
        <v>35</v>
      </c>
      <c r="L5" s="603" t="s">
        <v>36</v>
      </c>
      <c r="M5" s="72"/>
      <c r="N5" s="72"/>
      <c r="O5" s="339">
        <f>H5</f>
        <v>4633825</v>
      </c>
      <c r="P5" s="72"/>
      <c r="Q5" s="72"/>
      <c r="R5" s="72"/>
      <c r="S5" s="72"/>
      <c r="T5" s="72"/>
      <c r="U5" s="72"/>
      <c r="V5" s="72"/>
      <c r="W5" s="72"/>
      <c r="X5" s="72"/>
      <c r="Y5" s="72"/>
    </row>
    <row r="6" spans="1:25" ht="18" customHeight="1" x14ac:dyDescent="0.3">
      <c r="A6" s="524"/>
      <c r="B6" s="524" t="s">
        <v>32</v>
      </c>
      <c r="C6" s="275" t="s">
        <v>37</v>
      </c>
      <c r="D6" s="275" t="s">
        <v>38</v>
      </c>
      <c r="E6" s="276">
        <v>46054</v>
      </c>
      <c r="F6" s="334">
        <v>5067348</v>
      </c>
      <c r="G6" s="281" t="s">
        <v>34</v>
      </c>
      <c r="H6" s="334">
        <v>5067348</v>
      </c>
      <c r="I6" s="334"/>
      <c r="J6" s="201">
        <f t="shared" si="0"/>
        <v>0</v>
      </c>
      <c r="K6" s="198" t="s">
        <v>35</v>
      </c>
      <c r="L6" s="603"/>
      <c r="M6" s="72"/>
      <c r="N6" s="72"/>
      <c r="O6" s="339">
        <f t="shared" ref="O6:O7" si="1">H6</f>
        <v>5067348</v>
      </c>
      <c r="P6" s="72"/>
      <c r="Q6" s="72"/>
      <c r="R6" s="72"/>
      <c r="S6" s="72"/>
      <c r="T6" s="72"/>
      <c r="U6" s="72"/>
      <c r="V6" s="72"/>
      <c r="W6" s="72"/>
      <c r="X6" s="72"/>
      <c r="Y6" s="72"/>
    </row>
    <row r="7" spans="1:25" ht="18" customHeight="1" x14ac:dyDescent="0.3">
      <c r="A7" s="526"/>
      <c r="B7" s="524" t="s">
        <v>32</v>
      </c>
      <c r="C7" s="275" t="s">
        <v>39</v>
      </c>
      <c r="D7" s="275" t="s">
        <v>38</v>
      </c>
      <c r="E7" s="276">
        <v>46082</v>
      </c>
      <c r="F7" s="334">
        <v>5158115</v>
      </c>
      <c r="G7" s="281" t="s">
        <v>34</v>
      </c>
      <c r="H7" s="334">
        <v>5158115</v>
      </c>
      <c r="I7" s="334"/>
      <c r="J7" s="201">
        <f t="shared" si="0"/>
        <v>0</v>
      </c>
      <c r="K7" s="198" t="s">
        <v>35</v>
      </c>
      <c r="L7" s="227"/>
      <c r="M7" s="72"/>
      <c r="N7" s="72"/>
      <c r="O7" s="339">
        <f t="shared" si="1"/>
        <v>5158115</v>
      </c>
      <c r="P7" s="72"/>
      <c r="Q7" s="72"/>
      <c r="R7" s="72"/>
      <c r="S7" s="72"/>
      <c r="T7" s="72"/>
      <c r="U7" s="72"/>
      <c r="V7" s="72"/>
      <c r="W7" s="72"/>
      <c r="X7" s="72"/>
      <c r="Y7" s="72"/>
    </row>
    <row r="8" spans="1:25" ht="18" customHeight="1" x14ac:dyDescent="0.3">
      <c r="A8" s="526"/>
      <c r="B8" s="524" t="s">
        <v>32</v>
      </c>
      <c r="C8" s="275" t="s">
        <v>40</v>
      </c>
      <c r="D8" s="275" t="s">
        <v>41</v>
      </c>
      <c r="E8" s="276">
        <v>46113</v>
      </c>
      <c r="F8" s="334">
        <v>5334952</v>
      </c>
      <c r="G8" s="531" t="s">
        <v>28</v>
      </c>
      <c r="H8" s="334"/>
      <c r="I8" s="334">
        <f>F8</f>
        <v>5334952</v>
      </c>
      <c r="J8" s="201">
        <f t="shared" si="0"/>
        <v>0</v>
      </c>
      <c r="K8" s="285"/>
      <c r="L8" s="227"/>
      <c r="M8" s="72"/>
      <c r="N8" s="72"/>
      <c r="O8" s="72" cm="1">
        <f t="array" ref="O8:T8">H8:M8</f>
        <v>0</v>
      </c>
      <c r="P8" s="72">
        <v>5334952</v>
      </c>
      <c r="Q8" s="72">
        <v>0</v>
      </c>
      <c r="R8" s="72">
        <v>0</v>
      </c>
      <c r="S8" s="72">
        <v>0</v>
      </c>
      <c r="T8" s="72">
        <v>0</v>
      </c>
      <c r="U8" s="72"/>
      <c r="V8" s="72"/>
      <c r="W8" s="72"/>
      <c r="X8" s="72"/>
      <c r="Y8" s="72"/>
    </row>
    <row r="9" spans="1:25" ht="18" customHeight="1" x14ac:dyDescent="0.3">
      <c r="A9" s="526"/>
      <c r="B9" s="524" t="s">
        <v>32</v>
      </c>
      <c r="C9" s="275" t="s">
        <v>42</v>
      </c>
      <c r="D9" s="275" t="s">
        <v>43</v>
      </c>
      <c r="E9" s="276">
        <v>46143</v>
      </c>
      <c r="F9" s="334">
        <v>5175888</v>
      </c>
      <c r="G9" s="281" t="s">
        <v>44</v>
      </c>
      <c r="H9" s="334"/>
      <c r="I9" s="334">
        <f t="shared" ref="I9:I13" si="2">F9</f>
        <v>5175888</v>
      </c>
      <c r="J9" s="201">
        <f t="shared" si="0"/>
        <v>0</v>
      </c>
      <c r="K9" s="285"/>
      <c r="L9" s="227"/>
      <c r="M9" s="72"/>
      <c r="N9" s="72"/>
      <c r="O9" s="72">
        <f>F9</f>
        <v>5175888</v>
      </c>
      <c r="P9" s="72"/>
      <c r="Q9" s="72"/>
      <c r="R9" s="72"/>
      <c r="S9" s="72"/>
      <c r="T9" s="72"/>
      <c r="U9" s="72"/>
      <c r="V9" s="72"/>
      <c r="W9" s="72"/>
      <c r="X9" s="72"/>
      <c r="Y9" s="72"/>
    </row>
    <row r="10" spans="1:25" ht="18" customHeight="1" x14ac:dyDescent="0.3">
      <c r="A10" s="526"/>
      <c r="B10" s="524" t="s">
        <v>32</v>
      </c>
      <c r="C10" s="275" t="s">
        <v>45</v>
      </c>
      <c r="D10" s="275" t="s">
        <v>43</v>
      </c>
      <c r="E10" s="276">
        <v>46174</v>
      </c>
      <c r="F10" s="334">
        <v>5087025</v>
      </c>
      <c r="G10" s="281" t="s">
        <v>44</v>
      </c>
      <c r="H10" s="334"/>
      <c r="I10" s="334">
        <f t="shared" si="2"/>
        <v>5087025</v>
      </c>
      <c r="J10" s="201">
        <f t="shared" si="0"/>
        <v>0</v>
      </c>
      <c r="K10" s="285"/>
      <c r="L10" s="227"/>
      <c r="M10" s="72"/>
      <c r="N10" s="72"/>
      <c r="O10" s="72">
        <f t="shared" ref="O10" si="3">F10</f>
        <v>5087025</v>
      </c>
      <c r="P10" s="72"/>
      <c r="Q10" s="72"/>
      <c r="R10" s="72"/>
      <c r="S10" s="72"/>
      <c r="T10" s="72"/>
      <c r="U10" s="72"/>
      <c r="V10" s="72"/>
      <c r="W10" s="72"/>
      <c r="X10" s="72"/>
      <c r="Y10" s="72"/>
    </row>
    <row r="11" spans="1:25" ht="18" customHeight="1" x14ac:dyDescent="0.3">
      <c r="A11" s="526"/>
      <c r="B11" s="524" t="s">
        <v>32</v>
      </c>
      <c r="C11" s="275" t="s">
        <v>46</v>
      </c>
      <c r="D11" s="523">
        <v>46247</v>
      </c>
      <c r="E11" s="276" t="s">
        <v>47</v>
      </c>
      <c r="F11" s="334">
        <v>3431999</v>
      </c>
      <c r="G11" s="532" t="s">
        <v>48</v>
      </c>
      <c r="H11" s="334"/>
      <c r="I11" s="334">
        <f t="shared" si="2"/>
        <v>3431999</v>
      </c>
      <c r="J11" s="201">
        <f t="shared" si="0"/>
        <v>0</v>
      </c>
      <c r="K11" s="285"/>
      <c r="L11" s="227"/>
      <c r="M11" s="72">
        <f>F11</f>
        <v>3431999</v>
      </c>
      <c r="N11" s="72"/>
      <c r="O11" s="72"/>
      <c r="P11" s="72"/>
      <c r="Q11" s="72"/>
      <c r="R11" s="72"/>
      <c r="S11" s="72"/>
      <c r="T11" s="72"/>
      <c r="U11" s="72"/>
      <c r="V11" s="72"/>
      <c r="W11" s="72"/>
      <c r="X11" s="72"/>
      <c r="Y11" s="72"/>
    </row>
    <row r="12" spans="1:25" ht="18" customHeight="1" x14ac:dyDescent="0.3">
      <c r="A12" s="526"/>
      <c r="B12" s="524" t="s">
        <v>32</v>
      </c>
      <c r="C12" s="275" t="s">
        <v>49</v>
      </c>
      <c r="D12" s="523">
        <v>46248</v>
      </c>
      <c r="E12" s="276" t="s">
        <v>50</v>
      </c>
      <c r="F12" s="334">
        <v>4290000</v>
      </c>
      <c r="G12" s="532" t="s">
        <v>48</v>
      </c>
      <c r="H12" s="334"/>
      <c r="I12" s="334">
        <f t="shared" si="2"/>
        <v>4290000</v>
      </c>
      <c r="J12" s="201">
        <f t="shared" si="0"/>
        <v>0</v>
      </c>
      <c r="K12" s="285"/>
      <c r="L12" s="227"/>
      <c r="M12" s="72">
        <f t="shared" ref="M12:M13" si="4">F12</f>
        <v>4290000</v>
      </c>
      <c r="N12" s="72"/>
      <c r="O12" s="72"/>
      <c r="P12" s="72"/>
      <c r="Q12" s="72"/>
      <c r="R12" s="72"/>
      <c r="S12" s="72"/>
      <c r="T12" s="72"/>
      <c r="U12" s="72"/>
      <c r="V12" s="72"/>
      <c r="W12" s="72"/>
      <c r="X12" s="72"/>
      <c r="Y12" s="72"/>
    </row>
    <row r="13" spans="1:25" ht="18" customHeight="1" x14ac:dyDescent="0.3">
      <c r="A13" s="526"/>
      <c r="B13" s="524" t="s">
        <v>32</v>
      </c>
      <c r="C13" s="275" t="s">
        <v>51</v>
      </c>
      <c r="D13" s="523">
        <v>46252</v>
      </c>
      <c r="E13" s="276" t="s">
        <v>52</v>
      </c>
      <c r="F13" s="334">
        <v>10296000</v>
      </c>
      <c r="G13" s="532" t="s">
        <v>48</v>
      </c>
      <c r="H13" s="334"/>
      <c r="I13" s="334">
        <f t="shared" si="2"/>
        <v>10296000</v>
      </c>
      <c r="J13" s="201">
        <f t="shared" si="0"/>
        <v>0</v>
      </c>
      <c r="K13" s="285"/>
      <c r="L13" s="227"/>
      <c r="M13" s="72">
        <f t="shared" si="4"/>
        <v>10296000</v>
      </c>
      <c r="N13" s="72"/>
      <c r="O13" s="72"/>
      <c r="P13" s="72"/>
      <c r="Q13" s="72"/>
      <c r="R13" s="72"/>
      <c r="S13" s="72"/>
      <c r="T13" s="72"/>
      <c r="U13" s="72"/>
      <c r="V13" s="72"/>
      <c r="W13" s="72"/>
      <c r="X13" s="72"/>
      <c r="Y13" s="72"/>
    </row>
    <row r="14" spans="1:25" s="10" customFormat="1" ht="18" customHeight="1" x14ac:dyDescent="0.3">
      <c r="A14" s="526">
        <v>3</v>
      </c>
      <c r="B14" s="524" t="s">
        <v>53</v>
      </c>
      <c r="C14" s="533" t="s">
        <v>54</v>
      </c>
      <c r="D14" s="523">
        <v>46099</v>
      </c>
      <c r="E14" s="276" t="s">
        <v>55</v>
      </c>
      <c r="F14" s="334">
        <v>2512984</v>
      </c>
      <c r="G14" s="281" t="s">
        <v>34</v>
      </c>
      <c r="H14" s="334">
        <v>2512984</v>
      </c>
      <c r="I14" s="334"/>
      <c r="J14" s="201">
        <f t="shared" si="0"/>
        <v>0</v>
      </c>
      <c r="K14" s="198" t="s">
        <v>56</v>
      </c>
      <c r="L14" s="236" t="s">
        <v>36</v>
      </c>
      <c r="M14" s="72">
        <f t="shared" ref="M14:M16" si="5">F14</f>
        <v>2512984</v>
      </c>
      <c r="N14" s="72"/>
      <c r="O14" s="72"/>
      <c r="P14" s="72"/>
      <c r="Q14" s="72"/>
      <c r="R14" s="72"/>
      <c r="S14" s="72"/>
      <c r="T14" s="72"/>
      <c r="U14" s="72"/>
      <c r="V14" s="72"/>
      <c r="W14" s="72"/>
      <c r="X14" s="72"/>
      <c r="Y14" s="72"/>
    </row>
    <row r="15" spans="1:25" ht="18" customHeight="1" x14ac:dyDescent="0.3">
      <c r="A15" s="528"/>
      <c r="B15" s="524" t="s">
        <v>53</v>
      </c>
      <c r="C15" s="533" t="s">
        <v>57</v>
      </c>
      <c r="D15" s="523">
        <v>46099</v>
      </c>
      <c r="E15" s="276" t="s">
        <v>58</v>
      </c>
      <c r="F15" s="334">
        <v>2760750</v>
      </c>
      <c r="G15" s="281" t="s">
        <v>34</v>
      </c>
      <c r="H15" s="334">
        <v>2760750</v>
      </c>
      <c r="I15" s="334"/>
      <c r="J15" s="201">
        <f t="shared" si="0"/>
        <v>0</v>
      </c>
      <c r="K15" s="198" t="s">
        <v>56</v>
      </c>
      <c r="L15" s="62"/>
      <c r="M15" s="72">
        <f t="shared" si="5"/>
        <v>2760750</v>
      </c>
      <c r="N15" s="72"/>
      <c r="O15" s="72"/>
      <c r="P15" s="72"/>
      <c r="Q15" s="72"/>
      <c r="R15" s="72"/>
      <c r="S15" s="72"/>
      <c r="T15" s="72"/>
      <c r="U15" s="72"/>
      <c r="V15" s="72"/>
      <c r="W15" s="72"/>
      <c r="X15" s="72"/>
      <c r="Y15" s="72"/>
    </row>
    <row r="16" spans="1:25" ht="18" customHeight="1" x14ac:dyDescent="0.3">
      <c r="A16" s="528"/>
      <c r="B16" s="524" t="s">
        <v>53</v>
      </c>
      <c r="C16" s="533" t="s">
        <v>59</v>
      </c>
      <c r="D16" s="523">
        <v>46099</v>
      </c>
      <c r="E16" s="276" t="s">
        <v>60</v>
      </c>
      <c r="F16" s="334">
        <v>2681371</v>
      </c>
      <c r="G16" s="281" t="s">
        <v>34</v>
      </c>
      <c r="H16" s="334">
        <v>2681371</v>
      </c>
      <c r="I16" s="334"/>
      <c r="J16" s="201">
        <f t="shared" si="0"/>
        <v>0</v>
      </c>
      <c r="K16" s="198" t="s">
        <v>56</v>
      </c>
      <c r="L16" s="62"/>
      <c r="M16" s="72">
        <f t="shared" si="5"/>
        <v>2681371</v>
      </c>
      <c r="N16" s="72"/>
      <c r="O16" s="72"/>
      <c r="P16" s="72"/>
      <c r="Q16" s="72"/>
      <c r="R16" s="72"/>
      <c r="S16" s="72"/>
      <c r="T16" s="72"/>
      <c r="U16" s="72"/>
      <c r="V16" s="72"/>
      <c r="W16" s="72"/>
      <c r="X16" s="72"/>
      <c r="Y16" s="72"/>
    </row>
    <row r="17" spans="1:25" ht="18" customHeight="1" x14ac:dyDescent="0.3">
      <c r="A17" s="528"/>
      <c r="B17" s="524" t="s">
        <v>53</v>
      </c>
      <c r="C17" s="534" t="s">
        <v>61</v>
      </c>
      <c r="D17" s="523">
        <v>46150</v>
      </c>
      <c r="E17" s="276">
        <v>46023</v>
      </c>
      <c r="F17" s="334">
        <v>2610484</v>
      </c>
      <c r="G17" s="531" t="s">
        <v>62</v>
      </c>
      <c r="H17" s="334"/>
      <c r="I17" s="334">
        <f t="shared" ref="I17:I22" si="6">F17</f>
        <v>2610484</v>
      </c>
      <c r="J17" s="201">
        <f t="shared" si="0"/>
        <v>0</v>
      </c>
      <c r="K17" s="313"/>
      <c r="L17" s="62"/>
      <c r="M17" s="72">
        <f>H17</f>
        <v>0</v>
      </c>
      <c r="N17" s="72"/>
      <c r="O17" s="72"/>
      <c r="P17" s="72"/>
      <c r="Q17" s="72"/>
      <c r="R17" s="72"/>
      <c r="S17" s="72"/>
      <c r="T17" s="72"/>
      <c r="U17" s="72"/>
      <c r="V17" s="72"/>
      <c r="W17" s="72"/>
      <c r="X17" s="72"/>
      <c r="Y17" s="72"/>
    </row>
    <row r="18" spans="1:25" ht="18" customHeight="1" x14ac:dyDescent="0.3">
      <c r="A18" s="528"/>
      <c r="B18" s="524" t="s">
        <v>53</v>
      </c>
      <c r="C18" s="534" t="s">
        <v>63</v>
      </c>
      <c r="D18" s="523">
        <v>46150</v>
      </c>
      <c r="E18" s="276">
        <v>46054</v>
      </c>
      <c r="F18" s="334">
        <v>2475000</v>
      </c>
      <c r="G18" s="531" t="s">
        <v>62</v>
      </c>
      <c r="H18" s="334"/>
      <c r="I18" s="334">
        <f t="shared" si="6"/>
        <v>2475000</v>
      </c>
      <c r="J18" s="201">
        <f t="shared" si="0"/>
        <v>0</v>
      </c>
      <c r="K18" s="313"/>
      <c r="L18" s="62"/>
      <c r="M18" s="72">
        <f t="shared" ref="M18:M19" si="7">H18</f>
        <v>0</v>
      </c>
      <c r="N18" s="72"/>
      <c r="O18" s="72"/>
      <c r="P18" s="72"/>
      <c r="Q18" s="72"/>
      <c r="R18" s="72"/>
      <c r="S18" s="72"/>
      <c r="T18" s="72"/>
      <c r="U18" s="72"/>
      <c r="V18" s="72"/>
      <c r="W18" s="72"/>
      <c r="X18" s="72"/>
      <c r="Y18" s="72"/>
    </row>
    <row r="19" spans="1:25" ht="18" customHeight="1" x14ac:dyDescent="0.3">
      <c r="A19" s="528"/>
      <c r="B19" s="524" t="s">
        <v>53</v>
      </c>
      <c r="C19" s="534" t="s">
        <v>64</v>
      </c>
      <c r="D19" s="523">
        <v>46218</v>
      </c>
      <c r="E19" s="276">
        <v>46082</v>
      </c>
      <c r="F19" s="334">
        <v>2649194</v>
      </c>
      <c r="G19" s="531" t="s">
        <v>28</v>
      </c>
      <c r="H19" s="334"/>
      <c r="I19" s="334">
        <f t="shared" si="6"/>
        <v>2649194</v>
      </c>
      <c r="J19" s="201">
        <f t="shared" si="0"/>
        <v>0</v>
      </c>
      <c r="K19" s="313"/>
      <c r="L19" s="62"/>
      <c r="M19" s="72">
        <f t="shared" si="7"/>
        <v>0</v>
      </c>
      <c r="N19" s="72"/>
      <c r="O19" s="72"/>
      <c r="P19" s="72"/>
      <c r="Q19" s="72"/>
      <c r="R19" s="72"/>
      <c r="S19" s="72"/>
      <c r="T19" s="72"/>
      <c r="U19" s="72"/>
      <c r="V19" s="72"/>
      <c r="W19" s="72"/>
      <c r="X19" s="72"/>
      <c r="Y19" s="72"/>
    </row>
    <row r="20" spans="1:25" ht="18" customHeight="1" x14ac:dyDescent="0.3">
      <c r="A20" s="528"/>
      <c r="B20" s="524" t="s">
        <v>53</v>
      </c>
      <c r="C20" s="534" t="s">
        <v>65</v>
      </c>
      <c r="D20" s="523">
        <v>46218</v>
      </c>
      <c r="E20" s="276">
        <v>46113</v>
      </c>
      <c r="F20" s="334">
        <v>2812500</v>
      </c>
      <c r="G20" s="531" t="s">
        <v>28</v>
      </c>
      <c r="H20" s="334"/>
      <c r="I20" s="334">
        <f t="shared" si="6"/>
        <v>2812500</v>
      </c>
      <c r="J20" s="201">
        <f t="shared" si="0"/>
        <v>0</v>
      </c>
      <c r="K20" s="313"/>
      <c r="L20" s="62"/>
      <c r="M20" s="72">
        <f>H20</f>
        <v>0</v>
      </c>
      <c r="N20" s="72"/>
      <c r="O20" s="72"/>
      <c r="P20" s="72"/>
      <c r="Q20" s="72"/>
      <c r="R20" s="72"/>
      <c r="S20" s="72"/>
      <c r="T20" s="72"/>
      <c r="U20" s="72"/>
      <c r="V20" s="72"/>
      <c r="W20" s="72"/>
      <c r="X20" s="72"/>
      <c r="Y20" s="72"/>
    </row>
    <row r="21" spans="1:25" ht="18" customHeight="1" x14ac:dyDescent="0.3">
      <c r="A21" s="528"/>
      <c r="B21" s="524" t="s">
        <v>53</v>
      </c>
      <c r="C21" s="534" t="s">
        <v>66</v>
      </c>
      <c r="D21" s="523">
        <v>46253</v>
      </c>
      <c r="E21" s="276">
        <v>46143</v>
      </c>
      <c r="F21" s="334">
        <v>2741492</v>
      </c>
      <c r="G21" s="532" t="s">
        <v>67</v>
      </c>
      <c r="H21" s="334"/>
      <c r="I21" s="334">
        <f t="shared" si="6"/>
        <v>2741492</v>
      </c>
      <c r="J21" s="201">
        <f t="shared" si="0"/>
        <v>0</v>
      </c>
      <c r="K21" s="313"/>
      <c r="L21" s="62"/>
      <c r="M21" s="72">
        <f t="shared" ref="M21:M22" si="8">H21</f>
        <v>0</v>
      </c>
      <c r="N21" s="72"/>
      <c r="O21" s="72"/>
      <c r="P21" s="72"/>
      <c r="Q21" s="72"/>
      <c r="R21" s="72"/>
      <c r="S21" s="72"/>
      <c r="T21" s="72"/>
      <c r="U21" s="72"/>
      <c r="V21" s="72"/>
      <c r="W21" s="72"/>
      <c r="X21" s="72"/>
      <c r="Y21" s="72"/>
    </row>
    <row r="22" spans="1:25" ht="18" customHeight="1" x14ac:dyDescent="0.3">
      <c r="A22" s="528"/>
      <c r="B22" s="524" t="s">
        <v>53</v>
      </c>
      <c r="C22" s="534" t="s">
        <v>68</v>
      </c>
      <c r="D22" s="523">
        <v>46253</v>
      </c>
      <c r="E22" s="276" t="s">
        <v>69</v>
      </c>
      <c r="F22" s="334">
        <v>2741495</v>
      </c>
      <c r="G22" s="532" t="s">
        <v>70</v>
      </c>
      <c r="H22" s="334"/>
      <c r="I22" s="334">
        <f t="shared" si="6"/>
        <v>2741495</v>
      </c>
      <c r="J22" s="201">
        <f t="shared" si="0"/>
        <v>0</v>
      </c>
      <c r="K22" s="313"/>
      <c r="L22" s="62"/>
      <c r="M22" s="72">
        <f t="shared" si="8"/>
        <v>0</v>
      </c>
      <c r="N22" s="72"/>
      <c r="O22" s="72"/>
      <c r="P22" s="72"/>
      <c r="Q22" s="72"/>
      <c r="R22" s="72"/>
      <c r="S22" s="72"/>
      <c r="T22" s="72"/>
      <c r="U22" s="72"/>
      <c r="V22" s="72"/>
      <c r="W22" s="72"/>
      <c r="X22" s="72"/>
      <c r="Y22" s="72"/>
    </row>
    <row r="23" spans="1:25" s="10" customFormat="1" ht="18" customHeight="1" x14ac:dyDescent="0.3">
      <c r="A23" s="526">
        <v>4</v>
      </c>
      <c r="B23" s="524" t="s">
        <v>71</v>
      </c>
      <c r="C23" s="534" t="s">
        <v>72</v>
      </c>
      <c r="D23" s="276" t="s">
        <v>73</v>
      </c>
      <c r="E23" s="276">
        <v>46023</v>
      </c>
      <c r="F23" s="334">
        <v>5734901</v>
      </c>
      <c r="G23" s="281" t="s">
        <v>74</v>
      </c>
      <c r="H23" s="334">
        <v>5734901</v>
      </c>
      <c r="I23" s="334"/>
      <c r="J23" s="201">
        <f t="shared" si="0"/>
        <v>0</v>
      </c>
      <c r="K23" s="198" t="s">
        <v>75</v>
      </c>
      <c r="L23" s="236" t="s">
        <v>76</v>
      </c>
      <c r="M23" s="89"/>
      <c r="N23" s="72"/>
      <c r="O23" s="366">
        <f>H23</f>
        <v>5734901</v>
      </c>
      <c r="P23" s="72"/>
      <c r="Q23" s="72"/>
      <c r="R23" s="72"/>
      <c r="S23" s="72"/>
      <c r="T23" s="72"/>
      <c r="U23" s="72"/>
      <c r="V23" s="72"/>
      <c r="W23" s="72"/>
      <c r="X23" s="72"/>
      <c r="Y23" s="72"/>
    </row>
    <row r="24" spans="1:25" s="10" customFormat="1" ht="18" customHeight="1" x14ac:dyDescent="0.3">
      <c r="A24" s="526"/>
      <c r="B24" s="524" t="s">
        <v>71</v>
      </c>
      <c r="C24" s="534" t="s">
        <v>77</v>
      </c>
      <c r="D24" s="276" t="s">
        <v>78</v>
      </c>
      <c r="E24" s="276">
        <v>46054</v>
      </c>
      <c r="F24" s="334">
        <v>4700625</v>
      </c>
      <c r="G24" s="281" t="s">
        <v>74</v>
      </c>
      <c r="H24" s="334">
        <v>4700625</v>
      </c>
      <c r="I24" s="334"/>
      <c r="J24" s="201">
        <f t="shared" si="0"/>
        <v>0</v>
      </c>
      <c r="K24" s="198" t="s">
        <v>75</v>
      </c>
      <c r="L24" s="236"/>
      <c r="M24" s="89"/>
      <c r="N24" s="72"/>
      <c r="O24" s="366">
        <f>H24</f>
        <v>4700625</v>
      </c>
      <c r="P24" s="72"/>
      <c r="Q24" s="72"/>
      <c r="R24" s="72"/>
      <c r="S24" s="72"/>
      <c r="T24" s="72"/>
      <c r="U24" s="72"/>
      <c r="V24" s="72"/>
      <c r="W24" s="72"/>
      <c r="X24" s="72"/>
      <c r="Y24" s="72"/>
    </row>
    <row r="25" spans="1:25" s="10" customFormat="1" ht="18" customHeight="1" x14ac:dyDescent="0.3">
      <c r="A25" s="526"/>
      <c r="B25" s="524" t="s">
        <v>71</v>
      </c>
      <c r="C25" s="534" t="s">
        <v>79</v>
      </c>
      <c r="D25" s="276" t="s">
        <v>80</v>
      </c>
      <c r="E25" s="276">
        <v>46082</v>
      </c>
      <c r="F25" s="334">
        <v>3537097</v>
      </c>
      <c r="G25" s="281" t="s">
        <v>81</v>
      </c>
      <c r="H25" s="334"/>
      <c r="I25" s="334">
        <f t="shared" ref="I25:I29" si="9">F25</f>
        <v>3537097</v>
      </c>
      <c r="J25" s="201">
        <f t="shared" si="0"/>
        <v>0</v>
      </c>
      <c r="K25" s="198"/>
      <c r="L25" s="236"/>
      <c r="M25" s="72"/>
      <c r="N25" s="72"/>
      <c r="O25" s="72">
        <f>H25</f>
        <v>0</v>
      </c>
      <c r="P25" s="72"/>
      <c r="Q25" s="72"/>
      <c r="R25" s="72"/>
      <c r="S25" s="72"/>
      <c r="T25" s="72"/>
      <c r="U25" s="72"/>
      <c r="V25" s="72"/>
      <c r="W25" s="72"/>
      <c r="X25" s="72"/>
      <c r="Y25" s="72"/>
    </row>
    <row r="26" spans="1:25" s="10" customFormat="1" ht="18" customHeight="1" x14ac:dyDescent="0.3">
      <c r="A26" s="526"/>
      <c r="B26" s="524" t="s">
        <v>71</v>
      </c>
      <c r="C26" s="534" t="s">
        <v>82</v>
      </c>
      <c r="D26" s="276" t="s">
        <v>83</v>
      </c>
      <c r="E26" s="535" t="s">
        <v>84</v>
      </c>
      <c r="F26" s="334">
        <v>5280000</v>
      </c>
      <c r="G26" s="281" t="s">
        <v>85</v>
      </c>
      <c r="H26" s="536"/>
      <c r="I26" s="334">
        <f t="shared" si="9"/>
        <v>5280000</v>
      </c>
      <c r="J26" s="201">
        <f t="shared" si="0"/>
        <v>0</v>
      </c>
      <c r="K26" s="198"/>
      <c r="L26" s="236"/>
      <c r="M26" s="72">
        <f>F26</f>
        <v>5280000</v>
      </c>
      <c r="N26" s="72"/>
      <c r="O26" s="72"/>
      <c r="P26" s="72"/>
      <c r="Q26" s="72"/>
      <c r="R26" s="72"/>
      <c r="S26" s="72"/>
      <c r="T26" s="72"/>
      <c r="U26" s="72"/>
      <c r="V26" s="72"/>
      <c r="W26" s="72"/>
      <c r="X26" s="72"/>
      <c r="Y26" s="72"/>
    </row>
    <row r="27" spans="1:25" s="10" customFormat="1" ht="18" customHeight="1" x14ac:dyDescent="0.3">
      <c r="A27" s="526"/>
      <c r="B27" s="524" t="s">
        <v>71</v>
      </c>
      <c r="C27" s="534" t="s">
        <v>86</v>
      </c>
      <c r="D27" s="276" t="s">
        <v>83</v>
      </c>
      <c r="E27" s="537" t="s">
        <v>87</v>
      </c>
      <c r="F27" s="334">
        <v>4224000</v>
      </c>
      <c r="G27" s="281" t="s">
        <v>85</v>
      </c>
      <c r="H27" s="536"/>
      <c r="I27" s="334">
        <f t="shared" si="9"/>
        <v>4224000</v>
      </c>
      <c r="J27" s="201">
        <f t="shared" si="0"/>
        <v>0</v>
      </c>
      <c r="K27" s="198"/>
      <c r="L27" s="236"/>
      <c r="M27" s="72">
        <f t="shared" ref="M27:M29" si="10">F27</f>
        <v>4224000</v>
      </c>
      <c r="N27" s="72"/>
      <c r="O27" s="72"/>
      <c r="P27" s="72"/>
      <c r="Q27" s="72"/>
      <c r="R27" s="72"/>
      <c r="S27" s="72"/>
      <c r="T27" s="72"/>
      <c r="U27" s="72"/>
      <c r="V27" s="72"/>
      <c r="W27" s="72"/>
      <c r="X27" s="72"/>
      <c r="Y27" s="72"/>
    </row>
    <row r="28" spans="1:25" s="10" customFormat="1" ht="18" customHeight="1" x14ac:dyDescent="0.3">
      <c r="A28" s="526"/>
      <c r="B28" s="524" t="s">
        <v>71</v>
      </c>
      <c r="C28" s="534" t="s">
        <v>88</v>
      </c>
      <c r="D28" s="276" t="s">
        <v>83</v>
      </c>
      <c r="E28" s="537" t="s">
        <v>89</v>
      </c>
      <c r="F28" s="334">
        <v>4224000</v>
      </c>
      <c r="G28" s="281" t="s">
        <v>85</v>
      </c>
      <c r="H28" s="536"/>
      <c r="I28" s="334">
        <f t="shared" si="9"/>
        <v>4224000</v>
      </c>
      <c r="J28" s="201">
        <f t="shared" si="0"/>
        <v>0</v>
      </c>
      <c r="K28" s="198"/>
      <c r="L28" s="236"/>
      <c r="M28" s="72">
        <f t="shared" si="10"/>
        <v>4224000</v>
      </c>
      <c r="N28" s="72"/>
      <c r="O28" s="72"/>
      <c r="P28" s="72"/>
      <c r="Q28" s="72"/>
      <c r="R28" s="72"/>
      <c r="S28" s="72"/>
      <c r="T28" s="72"/>
      <c r="U28" s="72"/>
      <c r="V28" s="72"/>
      <c r="W28" s="72"/>
      <c r="X28" s="72"/>
      <c r="Y28" s="72"/>
    </row>
    <row r="29" spans="1:25" s="10" customFormat="1" ht="18" customHeight="1" x14ac:dyDescent="0.3">
      <c r="A29" s="526"/>
      <c r="B29" s="524" t="s">
        <v>71</v>
      </c>
      <c r="C29" s="534" t="s">
        <v>90</v>
      </c>
      <c r="D29" s="276" t="s">
        <v>83</v>
      </c>
      <c r="E29" s="537" t="s">
        <v>91</v>
      </c>
      <c r="F29" s="334">
        <v>2112001</v>
      </c>
      <c r="G29" s="281" t="s">
        <v>85</v>
      </c>
      <c r="H29" s="536"/>
      <c r="I29" s="334">
        <f t="shared" si="9"/>
        <v>2112001</v>
      </c>
      <c r="J29" s="201">
        <f t="shared" si="0"/>
        <v>0</v>
      </c>
      <c r="K29" s="198"/>
      <c r="L29" s="236"/>
      <c r="M29" s="72">
        <f t="shared" si="10"/>
        <v>2112001</v>
      </c>
      <c r="N29" s="72"/>
      <c r="O29" s="72"/>
      <c r="P29" s="72"/>
      <c r="Q29" s="72"/>
      <c r="R29" s="72"/>
      <c r="S29" s="72"/>
      <c r="T29" s="72"/>
      <c r="U29" s="72"/>
      <c r="V29" s="72"/>
      <c r="W29" s="72"/>
      <c r="X29" s="72"/>
      <c r="Y29" s="72"/>
    </row>
    <row r="30" spans="1:25" s="10" customFormat="1" ht="18" customHeight="1" x14ac:dyDescent="0.3">
      <c r="A30" s="526">
        <v>5</v>
      </c>
      <c r="B30" s="524" t="s">
        <v>92</v>
      </c>
      <c r="C30" s="534" t="s">
        <v>93</v>
      </c>
      <c r="D30" s="276" t="s">
        <v>94</v>
      </c>
      <c r="E30" s="276">
        <v>46023</v>
      </c>
      <c r="F30" s="334">
        <v>1405176</v>
      </c>
      <c r="G30" s="281" t="s">
        <v>34</v>
      </c>
      <c r="H30" s="334">
        <v>1405176</v>
      </c>
      <c r="I30" s="334"/>
      <c r="J30" s="201">
        <f t="shared" si="0"/>
        <v>0</v>
      </c>
      <c r="K30" s="198" t="s">
        <v>56</v>
      </c>
      <c r="L30" s="235" t="s">
        <v>36</v>
      </c>
      <c r="M30" s="340"/>
      <c r="N30" s="72"/>
      <c r="O30" s="72">
        <f>H30</f>
        <v>1405176</v>
      </c>
      <c r="P30" s="72"/>
      <c r="Q30" s="72"/>
      <c r="R30" s="72"/>
      <c r="S30" s="72"/>
      <c r="T30" s="72"/>
      <c r="U30" s="72"/>
      <c r="V30" s="72"/>
      <c r="W30" s="72"/>
      <c r="X30" s="72"/>
      <c r="Y30" s="72"/>
    </row>
    <row r="31" spans="1:25" s="10" customFormat="1" ht="18" customHeight="1" x14ac:dyDescent="0.3">
      <c r="A31" s="526"/>
      <c r="B31" s="524" t="s">
        <v>92</v>
      </c>
      <c r="C31" s="534" t="s">
        <v>95</v>
      </c>
      <c r="D31" s="276" t="s">
        <v>96</v>
      </c>
      <c r="E31" s="276">
        <v>46054</v>
      </c>
      <c r="F31" s="334">
        <v>1602686</v>
      </c>
      <c r="G31" s="281" t="s">
        <v>34</v>
      </c>
      <c r="H31" s="334">
        <v>1602686</v>
      </c>
      <c r="I31" s="334"/>
      <c r="J31" s="201">
        <f t="shared" si="0"/>
        <v>0</v>
      </c>
      <c r="K31" s="198" t="s">
        <v>97</v>
      </c>
      <c r="L31" s="235"/>
      <c r="M31" s="340"/>
      <c r="N31" s="72"/>
      <c r="O31" s="72">
        <f>H31</f>
        <v>1602686</v>
      </c>
      <c r="P31" s="72"/>
      <c r="Q31" s="72"/>
      <c r="R31" s="72"/>
      <c r="S31" s="72"/>
      <c r="T31" s="72"/>
      <c r="U31" s="72"/>
      <c r="V31" s="72"/>
      <c r="W31" s="72"/>
      <c r="X31" s="72"/>
      <c r="Y31" s="72"/>
    </row>
    <row r="32" spans="1:25" s="10" customFormat="1" ht="18" customHeight="1" x14ac:dyDescent="0.3">
      <c r="A32" s="526"/>
      <c r="B32" s="524" t="s">
        <v>92</v>
      </c>
      <c r="C32" s="534" t="s">
        <v>95</v>
      </c>
      <c r="D32" s="276" t="s">
        <v>96</v>
      </c>
      <c r="E32" s="276">
        <v>46082</v>
      </c>
      <c r="F32" s="334">
        <v>1552946</v>
      </c>
      <c r="G32" s="531" t="s">
        <v>98</v>
      </c>
      <c r="H32" s="334"/>
      <c r="I32" s="334">
        <f t="shared" ref="I32:I36" si="11">F32</f>
        <v>1552946</v>
      </c>
      <c r="J32" s="201">
        <f t="shared" si="0"/>
        <v>0</v>
      </c>
      <c r="K32" s="316"/>
      <c r="L32" s="235"/>
      <c r="M32" s="520">
        <f>F32</f>
        <v>1552946</v>
      </c>
      <c r="N32" s="72"/>
      <c r="O32" s="72"/>
      <c r="P32" s="72"/>
      <c r="Q32" s="72"/>
      <c r="R32" s="72"/>
      <c r="S32" s="72"/>
      <c r="T32" s="72"/>
      <c r="U32" s="72"/>
      <c r="V32" s="72"/>
      <c r="W32" s="72"/>
      <c r="X32" s="72"/>
      <c r="Y32" s="72"/>
    </row>
    <row r="33" spans="1:25" s="10" customFormat="1" ht="18" customHeight="1" x14ac:dyDescent="0.3">
      <c r="A33" s="526"/>
      <c r="B33" s="524" t="s">
        <v>92</v>
      </c>
      <c r="C33" s="534" t="s">
        <v>95</v>
      </c>
      <c r="D33" s="276" t="s">
        <v>96</v>
      </c>
      <c r="E33" s="276">
        <v>46113</v>
      </c>
      <c r="F33" s="334">
        <v>1625749</v>
      </c>
      <c r="G33" s="531" t="s">
        <v>98</v>
      </c>
      <c r="H33" s="334"/>
      <c r="I33" s="334">
        <f t="shared" si="11"/>
        <v>1625749</v>
      </c>
      <c r="J33" s="201">
        <f t="shared" si="0"/>
        <v>0</v>
      </c>
      <c r="K33" s="316"/>
      <c r="L33" s="235"/>
      <c r="M33" s="520">
        <f t="shared" ref="M33:M36" si="12">F33</f>
        <v>1625749</v>
      </c>
      <c r="N33" s="72"/>
      <c r="O33" s="72"/>
      <c r="P33" s="72"/>
      <c r="Q33" s="72"/>
      <c r="R33" s="72"/>
      <c r="S33" s="72"/>
      <c r="T33" s="72"/>
      <c r="U33" s="72"/>
      <c r="V33" s="72"/>
      <c r="W33" s="72"/>
      <c r="X33" s="72"/>
      <c r="Y33" s="72"/>
    </row>
    <row r="34" spans="1:25" s="10" customFormat="1" ht="18" customHeight="1" x14ac:dyDescent="0.3">
      <c r="A34" s="526"/>
      <c r="B34" s="524" t="s">
        <v>92</v>
      </c>
      <c r="C34" s="534" t="s">
        <v>99</v>
      </c>
      <c r="D34" s="276">
        <v>46259</v>
      </c>
      <c r="E34" s="276">
        <v>46143</v>
      </c>
      <c r="F34" s="334">
        <v>2350861</v>
      </c>
      <c r="G34" s="532" t="s">
        <v>100</v>
      </c>
      <c r="H34" s="334"/>
      <c r="I34" s="334">
        <f t="shared" si="11"/>
        <v>2350861</v>
      </c>
      <c r="J34" s="201">
        <f t="shared" si="0"/>
        <v>0</v>
      </c>
      <c r="K34" s="316"/>
      <c r="L34" s="235"/>
      <c r="M34" s="520">
        <f t="shared" si="12"/>
        <v>2350861</v>
      </c>
      <c r="N34" s="72"/>
      <c r="O34" s="72"/>
      <c r="P34" s="72"/>
      <c r="Q34" s="72"/>
      <c r="R34" s="72"/>
      <c r="S34" s="72"/>
      <c r="T34" s="72"/>
      <c r="U34" s="72"/>
      <c r="V34" s="72"/>
      <c r="W34" s="72"/>
      <c r="X34" s="72"/>
      <c r="Y34" s="72"/>
    </row>
    <row r="35" spans="1:25" s="10" customFormat="1" ht="18" customHeight="1" x14ac:dyDescent="0.3">
      <c r="A35" s="526"/>
      <c r="B35" s="524" t="s">
        <v>92</v>
      </c>
      <c r="C35" s="534" t="s">
        <v>101</v>
      </c>
      <c r="D35" s="276">
        <v>46259</v>
      </c>
      <c r="E35" s="276">
        <v>46174</v>
      </c>
      <c r="F35" s="334">
        <v>2583790</v>
      </c>
      <c r="G35" s="532" t="s">
        <v>100</v>
      </c>
      <c r="H35" s="334"/>
      <c r="I35" s="334">
        <f t="shared" si="11"/>
        <v>2583790</v>
      </c>
      <c r="J35" s="201">
        <f t="shared" si="0"/>
        <v>0</v>
      </c>
      <c r="K35" s="316"/>
      <c r="L35" s="235"/>
      <c r="M35" s="520">
        <f t="shared" si="12"/>
        <v>2583790</v>
      </c>
      <c r="N35" s="72"/>
      <c r="O35" s="72"/>
      <c r="P35" s="72"/>
      <c r="Q35" s="72"/>
      <c r="R35" s="72"/>
      <c r="S35" s="72"/>
      <c r="T35" s="72"/>
      <c r="U35" s="72"/>
      <c r="V35" s="72"/>
      <c r="W35" s="72"/>
      <c r="X35" s="72"/>
      <c r="Y35" s="72"/>
    </row>
    <row r="36" spans="1:25" s="10" customFormat="1" ht="31.5" customHeight="1" x14ac:dyDescent="0.3">
      <c r="A36" s="526"/>
      <c r="B36" s="524" t="s">
        <v>92</v>
      </c>
      <c r="C36" s="534" t="s">
        <v>102</v>
      </c>
      <c r="D36" s="276">
        <v>46259</v>
      </c>
      <c r="E36" s="538" t="s">
        <v>103</v>
      </c>
      <c r="F36" s="334">
        <v>4774938</v>
      </c>
      <c r="G36" s="532" t="s">
        <v>100</v>
      </c>
      <c r="H36" s="334"/>
      <c r="I36" s="334">
        <f t="shared" si="11"/>
        <v>4774938</v>
      </c>
      <c r="J36" s="201">
        <f t="shared" si="0"/>
        <v>0</v>
      </c>
      <c r="K36" s="316"/>
      <c r="L36" s="235"/>
      <c r="M36" s="520">
        <f t="shared" si="12"/>
        <v>4774938</v>
      </c>
      <c r="N36" s="72"/>
      <c r="O36" s="72"/>
      <c r="P36" s="72"/>
      <c r="Q36" s="72"/>
      <c r="R36" s="72"/>
      <c r="S36" s="72"/>
      <c r="T36" s="72"/>
      <c r="U36" s="72"/>
      <c r="V36" s="72"/>
      <c r="W36" s="72"/>
      <c r="X36" s="72"/>
      <c r="Y36" s="72"/>
    </row>
    <row r="37" spans="1:25" ht="18" customHeight="1" x14ac:dyDescent="0.3">
      <c r="A37" s="528">
        <v>6</v>
      </c>
      <c r="B37" s="539" t="s">
        <v>104</v>
      </c>
      <c r="C37" s="275" t="s">
        <v>105</v>
      </c>
      <c r="D37" s="275"/>
      <c r="E37" s="275">
        <v>45839</v>
      </c>
      <c r="F37" s="334">
        <v>840952.71</v>
      </c>
      <c r="G37" s="275" t="s">
        <v>34</v>
      </c>
      <c r="H37" s="334">
        <v>840952.71</v>
      </c>
      <c r="I37" s="334"/>
      <c r="J37" s="201">
        <f t="shared" si="0"/>
        <v>0</v>
      </c>
      <c r="K37" s="192" t="s">
        <v>106</v>
      </c>
      <c r="L37" s="62"/>
      <c r="M37" s="368">
        <f>F37</f>
        <v>840952.71</v>
      </c>
      <c r="N37" s="72"/>
      <c r="O37" s="72"/>
      <c r="P37" s="72"/>
      <c r="Q37" s="72"/>
      <c r="R37" s="72"/>
      <c r="S37" s="72"/>
      <c r="T37" s="72"/>
      <c r="U37" s="72"/>
      <c r="V37" s="72"/>
      <c r="W37" s="72"/>
      <c r="X37" s="72"/>
      <c r="Y37" s="72"/>
    </row>
    <row r="38" spans="1:25" ht="18" customHeight="1" x14ac:dyDescent="0.3">
      <c r="A38" s="528"/>
      <c r="B38" s="539" t="s">
        <v>104</v>
      </c>
      <c r="C38" s="275" t="s">
        <v>107</v>
      </c>
      <c r="D38" s="275"/>
      <c r="E38" s="275">
        <v>45870</v>
      </c>
      <c r="F38" s="334">
        <v>2215560.39</v>
      </c>
      <c r="G38" s="275" t="s">
        <v>34</v>
      </c>
      <c r="H38" s="334">
        <v>2215560.39</v>
      </c>
      <c r="I38" s="334"/>
      <c r="J38" s="201">
        <f t="shared" si="0"/>
        <v>0</v>
      </c>
      <c r="K38" s="192" t="s">
        <v>106</v>
      </c>
      <c r="L38" s="62"/>
      <c r="M38" s="368">
        <f t="shared" ref="M38:M43" si="13">F38</f>
        <v>2215560.39</v>
      </c>
      <c r="N38" s="72"/>
      <c r="O38" s="72"/>
      <c r="P38" s="72"/>
      <c r="Q38" s="72"/>
      <c r="R38" s="72"/>
      <c r="S38" s="72"/>
      <c r="T38" s="72"/>
      <c r="U38" s="72"/>
      <c r="V38" s="72"/>
      <c r="W38" s="72"/>
      <c r="X38" s="72"/>
      <c r="Y38" s="72"/>
    </row>
    <row r="39" spans="1:25" ht="18" customHeight="1" x14ac:dyDescent="0.3">
      <c r="A39" s="528"/>
      <c r="B39" s="539" t="s">
        <v>104</v>
      </c>
      <c r="C39" s="275" t="s">
        <v>108</v>
      </c>
      <c r="D39" s="275"/>
      <c r="E39" s="275" t="s">
        <v>109</v>
      </c>
      <c r="F39" s="334">
        <v>4084336.95</v>
      </c>
      <c r="G39" s="275" t="s">
        <v>34</v>
      </c>
      <c r="H39" s="334">
        <v>4084336.95</v>
      </c>
      <c r="I39" s="334"/>
      <c r="J39" s="201">
        <f t="shared" si="0"/>
        <v>0</v>
      </c>
      <c r="K39" s="192" t="s">
        <v>106</v>
      </c>
      <c r="L39" s="62"/>
      <c r="M39" s="368">
        <f t="shared" si="13"/>
        <v>4084336.95</v>
      </c>
      <c r="N39" s="72"/>
      <c r="O39" s="72"/>
      <c r="P39" s="72"/>
      <c r="Q39" s="72"/>
      <c r="R39" s="72"/>
      <c r="S39" s="72"/>
      <c r="T39" s="72"/>
      <c r="U39" s="72"/>
      <c r="V39" s="72"/>
      <c r="W39" s="72"/>
      <c r="X39" s="72"/>
      <c r="Y39" s="72"/>
    </row>
    <row r="40" spans="1:25" ht="18" customHeight="1" x14ac:dyDescent="0.3">
      <c r="A40" s="528"/>
      <c r="B40" s="539" t="s">
        <v>104</v>
      </c>
      <c r="C40" s="275" t="s">
        <v>110</v>
      </c>
      <c r="D40" s="275"/>
      <c r="E40" s="275" t="s">
        <v>55</v>
      </c>
      <c r="F40" s="530">
        <v>5703517</v>
      </c>
      <c r="G40" s="275" t="s">
        <v>34</v>
      </c>
      <c r="H40" s="530">
        <v>5703517</v>
      </c>
      <c r="I40" s="530"/>
      <c r="J40" s="201">
        <f t="shared" si="0"/>
        <v>0</v>
      </c>
      <c r="K40" s="192" t="s">
        <v>106</v>
      </c>
      <c r="L40" s="62"/>
      <c r="M40" s="368">
        <f t="shared" si="13"/>
        <v>5703517</v>
      </c>
      <c r="N40" s="72"/>
      <c r="O40" s="72"/>
      <c r="P40" s="72"/>
      <c r="Q40" s="72"/>
      <c r="R40" s="72"/>
      <c r="S40" s="72"/>
      <c r="T40" s="72"/>
      <c r="U40" s="72"/>
      <c r="V40" s="72"/>
      <c r="W40" s="72"/>
      <c r="X40" s="72"/>
      <c r="Y40" s="72"/>
    </row>
    <row r="41" spans="1:25" ht="18" customHeight="1" x14ac:dyDescent="0.3">
      <c r="A41" s="528"/>
      <c r="B41" s="539" t="s">
        <v>104</v>
      </c>
      <c r="C41" s="275" t="s">
        <v>111</v>
      </c>
      <c r="D41" s="275"/>
      <c r="E41" s="275" t="s">
        <v>58</v>
      </c>
      <c r="F41" s="530">
        <v>5668850</v>
      </c>
      <c r="G41" s="275" t="s">
        <v>34</v>
      </c>
      <c r="H41" s="530">
        <v>5668850</v>
      </c>
      <c r="I41" s="530"/>
      <c r="J41" s="201">
        <f t="shared" si="0"/>
        <v>0</v>
      </c>
      <c r="K41" s="192" t="s">
        <v>106</v>
      </c>
      <c r="L41" s="62"/>
      <c r="M41" s="368">
        <f t="shared" si="13"/>
        <v>5668850</v>
      </c>
      <c r="N41" s="72"/>
      <c r="O41" s="72"/>
      <c r="P41" s="72"/>
      <c r="Q41" s="72"/>
      <c r="R41" s="72"/>
      <c r="S41" s="72"/>
      <c r="T41" s="72"/>
      <c r="U41" s="72"/>
      <c r="V41" s="72"/>
      <c r="W41" s="72"/>
      <c r="X41" s="72"/>
      <c r="Y41" s="72"/>
    </row>
    <row r="42" spans="1:25" ht="18" customHeight="1" x14ac:dyDescent="0.3">
      <c r="A42" s="528"/>
      <c r="B42" s="539" t="s">
        <v>104</v>
      </c>
      <c r="C42" s="275" t="s">
        <v>112</v>
      </c>
      <c r="D42" s="275"/>
      <c r="E42" s="275" t="s">
        <v>60</v>
      </c>
      <c r="F42" s="530">
        <v>5687393</v>
      </c>
      <c r="G42" s="275" t="s">
        <v>34</v>
      </c>
      <c r="H42" s="530">
        <v>5687393</v>
      </c>
      <c r="I42" s="530"/>
      <c r="J42" s="201">
        <f t="shared" si="0"/>
        <v>0</v>
      </c>
      <c r="K42" s="192" t="s">
        <v>106</v>
      </c>
      <c r="L42" s="62"/>
      <c r="M42" s="368">
        <f t="shared" si="13"/>
        <v>5687393</v>
      </c>
      <c r="N42" s="72"/>
      <c r="O42" s="72"/>
      <c r="P42" s="72"/>
      <c r="Q42" s="72"/>
      <c r="R42" s="72"/>
      <c r="S42" s="72"/>
      <c r="T42" s="72"/>
      <c r="U42" s="72"/>
      <c r="V42" s="72"/>
      <c r="W42" s="72"/>
      <c r="X42" s="72"/>
      <c r="Y42" s="72"/>
    </row>
    <row r="43" spans="1:25" ht="18" customHeight="1" x14ac:dyDescent="0.3">
      <c r="A43" s="528"/>
      <c r="B43" s="539" t="s">
        <v>104</v>
      </c>
      <c r="C43" s="275" t="s">
        <v>113</v>
      </c>
      <c r="D43" s="275"/>
      <c r="E43" s="275" t="s">
        <v>114</v>
      </c>
      <c r="F43" s="530">
        <v>5711580</v>
      </c>
      <c r="G43" s="275" t="s">
        <v>34</v>
      </c>
      <c r="H43" s="530">
        <v>5711580</v>
      </c>
      <c r="I43" s="530"/>
      <c r="J43" s="201">
        <f t="shared" si="0"/>
        <v>0</v>
      </c>
      <c r="K43" s="192" t="s">
        <v>106</v>
      </c>
      <c r="L43" s="62"/>
      <c r="M43" s="368">
        <f t="shared" si="13"/>
        <v>5711580</v>
      </c>
      <c r="N43" s="72"/>
      <c r="O43" s="72"/>
      <c r="P43" s="72"/>
      <c r="Q43" s="72"/>
      <c r="R43" s="72"/>
      <c r="S43" s="72"/>
      <c r="T43" s="72"/>
      <c r="U43" s="72"/>
      <c r="V43" s="72"/>
      <c r="W43" s="72"/>
      <c r="X43" s="72"/>
      <c r="Y43" s="72"/>
    </row>
    <row r="44" spans="1:25" s="17" customFormat="1" ht="18" customHeight="1" x14ac:dyDescent="0.3">
      <c r="A44" s="524"/>
      <c r="B44" s="539" t="s">
        <v>104</v>
      </c>
      <c r="C44" s="281" t="s">
        <v>115</v>
      </c>
      <c r="D44" s="281" t="s">
        <v>116</v>
      </c>
      <c r="E44" s="276" t="s">
        <v>117</v>
      </c>
      <c r="F44" s="334">
        <v>5734901</v>
      </c>
      <c r="G44" s="281" t="s">
        <v>34</v>
      </c>
      <c r="H44" s="334">
        <v>5734901</v>
      </c>
      <c r="I44" s="334"/>
      <c r="J44" s="201">
        <f t="shared" si="0"/>
        <v>0</v>
      </c>
      <c r="K44" s="198" t="s">
        <v>75</v>
      </c>
      <c r="L44" s="186"/>
      <c r="M44" s="367">
        <f>H44</f>
        <v>5734901</v>
      </c>
      <c r="N44" s="72"/>
      <c r="O44" s="72"/>
      <c r="P44" s="72"/>
      <c r="Q44" s="72"/>
      <c r="R44" s="72"/>
      <c r="S44" s="72"/>
      <c r="T44" s="72"/>
      <c r="U44" s="72"/>
      <c r="V44" s="72"/>
      <c r="W44" s="72"/>
      <c r="X44" s="72"/>
      <c r="Y44" s="72"/>
    </row>
    <row r="45" spans="1:25" s="10" customFormat="1" ht="18" customHeight="1" x14ac:dyDescent="0.3">
      <c r="A45" s="524"/>
      <c r="B45" s="539" t="s">
        <v>104</v>
      </c>
      <c r="C45" s="281" t="s">
        <v>118</v>
      </c>
      <c r="D45" s="281" t="s">
        <v>119</v>
      </c>
      <c r="E45" s="276" t="s">
        <v>120</v>
      </c>
      <c r="F45" s="334">
        <v>5727703</v>
      </c>
      <c r="G45" s="281" t="s">
        <v>34</v>
      </c>
      <c r="H45" s="334">
        <v>5727703</v>
      </c>
      <c r="I45" s="334"/>
      <c r="J45" s="201">
        <f t="shared" si="0"/>
        <v>0</v>
      </c>
      <c r="K45" s="198" t="s">
        <v>75</v>
      </c>
      <c r="L45" s="186" t="s">
        <v>121</v>
      </c>
      <c r="M45" s="367">
        <f>H45</f>
        <v>5727703</v>
      </c>
      <c r="N45" s="72"/>
      <c r="O45" s="72"/>
      <c r="P45" s="72"/>
      <c r="Q45" s="72"/>
      <c r="R45" s="72"/>
      <c r="S45" s="72"/>
      <c r="T45" s="72"/>
      <c r="U45" s="72"/>
      <c r="V45" s="72"/>
      <c r="W45" s="72"/>
      <c r="X45" s="72"/>
      <c r="Y45" s="72"/>
    </row>
    <row r="46" spans="1:25" s="11" customFormat="1" ht="18" customHeight="1" x14ac:dyDescent="0.3">
      <c r="A46" s="524"/>
      <c r="B46" s="539" t="s">
        <v>104</v>
      </c>
      <c r="C46" s="281" t="s">
        <v>122</v>
      </c>
      <c r="D46" s="281" t="s">
        <v>123</v>
      </c>
      <c r="E46" s="534" t="s">
        <v>124</v>
      </c>
      <c r="F46" s="334">
        <v>11028148</v>
      </c>
      <c r="G46" s="531" t="s">
        <v>125</v>
      </c>
      <c r="H46" s="334"/>
      <c r="I46" s="334">
        <f t="shared" ref="I46:I52" si="14">F46</f>
        <v>11028148</v>
      </c>
      <c r="J46" s="201">
        <f t="shared" si="0"/>
        <v>0</v>
      </c>
      <c r="K46" s="198"/>
      <c r="L46" s="186"/>
      <c r="M46" s="272">
        <f>H46</f>
        <v>0</v>
      </c>
      <c r="N46" s="72"/>
      <c r="O46" s="72"/>
      <c r="P46" s="72"/>
      <c r="Q46" s="72"/>
      <c r="R46" s="72"/>
      <c r="S46" s="72"/>
      <c r="T46" s="72"/>
      <c r="U46" s="72"/>
      <c r="V46" s="72"/>
      <c r="W46" s="72"/>
      <c r="X46" s="72"/>
      <c r="Y46" s="72"/>
    </row>
    <row r="47" spans="1:25" s="11" customFormat="1" ht="18" customHeight="1" x14ac:dyDescent="0.3">
      <c r="A47" s="526"/>
      <c r="B47" s="539" t="s">
        <v>104</v>
      </c>
      <c r="C47" s="281" t="s">
        <v>126</v>
      </c>
      <c r="D47" s="281" t="s">
        <v>123</v>
      </c>
      <c r="E47" s="534" t="s">
        <v>127</v>
      </c>
      <c r="F47" s="334">
        <v>4595062</v>
      </c>
      <c r="G47" s="281" t="s">
        <v>128</v>
      </c>
      <c r="H47" s="275"/>
      <c r="I47" s="334">
        <f t="shared" si="14"/>
        <v>4595062</v>
      </c>
      <c r="J47" s="201">
        <f t="shared" si="0"/>
        <v>0</v>
      </c>
      <c r="K47" s="198"/>
      <c r="L47" s="186"/>
      <c r="M47" s="272">
        <f>F47</f>
        <v>4595062</v>
      </c>
      <c r="N47" s="72"/>
      <c r="O47" s="72"/>
      <c r="P47" s="72"/>
      <c r="Q47" s="72"/>
      <c r="R47" s="72"/>
      <c r="S47" s="72"/>
      <c r="T47" s="72"/>
      <c r="U47" s="72"/>
      <c r="V47" s="72"/>
      <c r="W47" s="72"/>
      <c r="X47" s="72"/>
      <c r="Y47" s="72"/>
    </row>
    <row r="48" spans="1:25" s="11" customFormat="1" ht="18" customHeight="1" x14ac:dyDescent="0.3">
      <c r="A48" s="526"/>
      <c r="B48" s="539" t="s">
        <v>104</v>
      </c>
      <c r="C48" s="281" t="s">
        <v>129</v>
      </c>
      <c r="D48" s="281" t="s">
        <v>130</v>
      </c>
      <c r="E48" s="534" t="s">
        <v>131</v>
      </c>
      <c r="F48" s="334">
        <v>3676049</v>
      </c>
      <c r="G48" s="281" t="s">
        <v>128</v>
      </c>
      <c r="H48" s="275"/>
      <c r="I48" s="334">
        <f t="shared" si="14"/>
        <v>3676049</v>
      </c>
      <c r="J48" s="201">
        <f t="shared" si="0"/>
        <v>0</v>
      </c>
      <c r="K48" s="198"/>
      <c r="L48" s="186"/>
      <c r="M48" s="272">
        <f>F48</f>
        <v>3676049</v>
      </c>
      <c r="N48" s="72"/>
      <c r="O48" s="72"/>
      <c r="P48" s="72"/>
      <c r="Q48" s="72"/>
      <c r="R48" s="72"/>
      <c r="S48" s="72"/>
      <c r="T48" s="72"/>
      <c r="U48" s="72"/>
      <c r="V48" s="72"/>
      <c r="W48" s="72"/>
      <c r="X48" s="72"/>
      <c r="Y48" s="72"/>
    </row>
    <row r="49" spans="1:25" s="11" customFormat="1" ht="18" customHeight="1" x14ac:dyDescent="0.3">
      <c r="A49" s="526"/>
      <c r="B49" s="539" t="s">
        <v>104</v>
      </c>
      <c r="C49" s="281" t="s">
        <v>132</v>
      </c>
      <c r="D49" s="281" t="s">
        <v>123</v>
      </c>
      <c r="E49" s="276" t="s">
        <v>133</v>
      </c>
      <c r="F49" s="334">
        <v>5710504</v>
      </c>
      <c r="G49" s="281" t="s">
        <v>34</v>
      </c>
      <c r="H49" s="334"/>
      <c r="I49" s="334">
        <f t="shared" si="14"/>
        <v>5710504</v>
      </c>
      <c r="J49" s="201">
        <f t="shared" si="0"/>
        <v>0</v>
      </c>
      <c r="K49" s="198" t="s">
        <v>56</v>
      </c>
      <c r="L49" s="186"/>
      <c r="M49" s="272">
        <f>H49</f>
        <v>0</v>
      </c>
      <c r="N49" s="72"/>
      <c r="O49" s="72"/>
      <c r="P49" s="72"/>
      <c r="Q49" s="72"/>
      <c r="R49" s="72"/>
      <c r="S49" s="72"/>
      <c r="T49" s="72"/>
      <c r="U49" s="72"/>
      <c r="V49" s="72"/>
      <c r="W49" s="72"/>
      <c r="X49" s="72"/>
      <c r="Y49" s="72"/>
    </row>
    <row r="50" spans="1:25" s="11" customFormat="1" ht="18" customHeight="1" x14ac:dyDescent="0.3">
      <c r="A50" s="526"/>
      <c r="B50" s="539" t="s">
        <v>104</v>
      </c>
      <c r="C50" s="281" t="s">
        <v>134</v>
      </c>
      <c r="D50" s="281" t="s">
        <v>135</v>
      </c>
      <c r="E50" s="276">
        <v>46143</v>
      </c>
      <c r="F50" s="334">
        <v>5703517</v>
      </c>
      <c r="G50" s="531" t="s">
        <v>28</v>
      </c>
      <c r="H50" s="334"/>
      <c r="I50" s="334">
        <f t="shared" si="14"/>
        <v>5703517</v>
      </c>
      <c r="J50" s="201">
        <f t="shared" si="0"/>
        <v>0</v>
      </c>
      <c r="K50" s="198"/>
      <c r="L50" s="186"/>
      <c r="M50" s="272">
        <f>F50</f>
        <v>5703517</v>
      </c>
      <c r="N50" s="72"/>
      <c r="O50" s="72"/>
      <c r="P50" s="72"/>
      <c r="Q50" s="72"/>
      <c r="R50" s="72"/>
      <c r="S50" s="72"/>
      <c r="T50" s="72"/>
      <c r="U50" s="72"/>
      <c r="V50" s="72"/>
      <c r="W50" s="72"/>
      <c r="X50" s="72"/>
      <c r="Y50" s="72"/>
    </row>
    <row r="51" spans="1:25" s="11" customFormat="1" ht="18" customHeight="1" x14ac:dyDescent="0.3">
      <c r="A51" s="526"/>
      <c r="B51" s="539" t="s">
        <v>104</v>
      </c>
      <c r="C51" s="534" t="s">
        <v>136</v>
      </c>
      <c r="D51" s="276" t="s">
        <v>137</v>
      </c>
      <c r="E51" s="276">
        <v>46174</v>
      </c>
      <c r="F51" s="334">
        <v>5743827</v>
      </c>
      <c r="G51" s="532" t="s">
        <v>138</v>
      </c>
      <c r="H51" s="334"/>
      <c r="I51" s="334">
        <f t="shared" si="14"/>
        <v>5743827</v>
      </c>
      <c r="J51" s="201">
        <f t="shared" si="0"/>
        <v>0</v>
      </c>
      <c r="K51" s="198"/>
      <c r="L51" s="186"/>
      <c r="M51" s="272">
        <f t="shared" ref="M51:M52" si="15">F51</f>
        <v>5743827</v>
      </c>
      <c r="N51" s="72"/>
      <c r="O51" s="72"/>
      <c r="P51" s="72"/>
      <c r="Q51" s="72"/>
      <c r="R51" s="72"/>
      <c r="S51" s="72"/>
      <c r="T51" s="72"/>
      <c r="U51" s="72"/>
      <c r="V51" s="72"/>
      <c r="W51" s="72"/>
      <c r="X51" s="72"/>
      <c r="Y51" s="72"/>
    </row>
    <row r="52" spans="1:25" s="11" customFormat="1" ht="18" customHeight="1" x14ac:dyDescent="0.3">
      <c r="A52" s="526"/>
      <c r="B52" s="539" t="s">
        <v>104</v>
      </c>
      <c r="C52" s="534" t="s">
        <v>139</v>
      </c>
      <c r="D52" s="276" t="s">
        <v>140</v>
      </c>
      <c r="E52" s="276">
        <v>46204</v>
      </c>
      <c r="F52" s="334">
        <v>5743827</v>
      </c>
      <c r="G52" s="532" t="s">
        <v>138</v>
      </c>
      <c r="H52" s="334"/>
      <c r="I52" s="334">
        <f t="shared" si="14"/>
        <v>5743827</v>
      </c>
      <c r="J52" s="201">
        <f t="shared" si="0"/>
        <v>0</v>
      </c>
      <c r="K52" s="198"/>
      <c r="L52" s="186"/>
      <c r="M52" s="272">
        <f t="shared" si="15"/>
        <v>5743827</v>
      </c>
      <c r="N52" s="72"/>
      <c r="O52" s="72"/>
      <c r="P52" s="72"/>
      <c r="Q52" s="72"/>
      <c r="R52" s="72"/>
      <c r="S52" s="72"/>
      <c r="T52" s="72"/>
      <c r="U52" s="72"/>
      <c r="V52" s="72"/>
      <c r="W52" s="72"/>
      <c r="X52" s="72"/>
      <c r="Y52" s="72"/>
    </row>
    <row r="53" spans="1:25" s="10" customFormat="1" ht="18" customHeight="1" x14ac:dyDescent="0.3">
      <c r="A53" s="526">
        <v>7</v>
      </c>
      <c r="B53" s="540" t="s">
        <v>141</v>
      </c>
      <c r="C53" s="275" t="s">
        <v>142</v>
      </c>
      <c r="D53" s="541" t="s">
        <v>143</v>
      </c>
      <c r="E53" s="275" t="s">
        <v>144</v>
      </c>
      <c r="F53" s="334">
        <v>1345257</v>
      </c>
      <c r="G53" s="281" t="s">
        <v>34</v>
      </c>
      <c r="H53" s="334">
        <v>1345257</v>
      </c>
      <c r="I53" s="334"/>
      <c r="J53" s="201">
        <f t="shared" si="0"/>
        <v>0</v>
      </c>
      <c r="K53" s="198" t="s">
        <v>145</v>
      </c>
      <c r="L53" s="237"/>
      <c r="M53" s="72"/>
      <c r="N53" s="72"/>
      <c r="O53" s="72"/>
      <c r="P53" s="72"/>
      <c r="Q53" s="72"/>
      <c r="R53" s="72">
        <f>H53</f>
        <v>1345257</v>
      </c>
      <c r="S53" s="72"/>
      <c r="T53" s="72"/>
      <c r="U53" s="72"/>
      <c r="V53" s="72"/>
      <c r="W53" s="72"/>
      <c r="X53" s="72"/>
      <c r="Y53" s="72"/>
    </row>
    <row r="54" spans="1:25" s="10" customFormat="1" ht="18" customHeight="1" x14ac:dyDescent="0.3">
      <c r="A54" s="526"/>
      <c r="B54" s="540" t="s">
        <v>141</v>
      </c>
      <c r="C54" s="275" t="s">
        <v>146</v>
      </c>
      <c r="D54" s="541"/>
      <c r="E54" s="538" t="s">
        <v>147</v>
      </c>
      <c r="F54" s="334">
        <v>1096935</v>
      </c>
      <c r="G54" s="281" t="s">
        <v>34</v>
      </c>
      <c r="H54" s="334">
        <v>1096935</v>
      </c>
      <c r="I54" s="334"/>
      <c r="J54" s="201">
        <f t="shared" si="0"/>
        <v>0</v>
      </c>
      <c r="K54" s="198" t="s">
        <v>35</v>
      </c>
      <c r="L54" s="237"/>
      <c r="M54" s="72"/>
      <c r="N54" s="72"/>
      <c r="O54" s="72"/>
      <c r="P54" s="72"/>
      <c r="Q54" s="72"/>
      <c r="R54" s="72">
        <f>H54</f>
        <v>1096935</v>
      </c>
      <c r="S54" s="72"/>
      <c r="T54" s="72"/>
      <c r="U54" s="72"/>
      <c r="V54" s="72"/>
      <c r="W54" s="72"/>
      <c r="X54" s="72"/>
      <c r="Y54" s="72"/>
    </row>
    <row r="55" spans="1:25" s="10" customFormat="1" ht="18" customHeight="1" x14ac:dyDescent="0.3">
      <c r="A55" s="526"/>
      <c r="B55" s="540" t="s">
        <v>141</v>
      </c>
      <c r="C55" s="275" t="s">
        <v>146</v>
      </c>
      <c r="D55" s="541" t="s">
        <v>148</v>
      </c>
      <c r="E55" s="276">
        <v>46174</v>
      </c>
      <c r="F55" s="334">
        <v>1307888</v>
      </c>
      <c r="G55" s="531" t="s">
        <v>28</v>
      </c>
      <c r="H55" s="334"/>
      <c r="I55" s="334">
        <f t="shared" ref="I55:I59" si="16">F55</f>
        <v>1307888</v>
      </c>
      <c r="J55" s="201">
        <f t="shared" si="0"/>
        <v>0</v>
      </c>
      <c r="K55" s="198"/>
      <c r="L55" s="237"/>
      <c r="M55" s="72"/>
      <c r="N55" s="72"/>
      <c r="O55" s="72"/>
      <c r="P55" s="72"/>
      <c r="Q55" s="72"/>
      <c r="R55" s="72">
        <f>F55</f>
        <v>1307888</v>
      </c>
      <c r="S55" s="72"/>
      <c r="T55" s="72"/>
      <c r="U55" s="72"/>
      <c r="V55" s="72"/>
      <c r="W55" s="72"/>
      <c r="X55" s="72"/>
      <c r="Y55" s="72"/>
    </row>
    <row r="56" spans="1:25" s="10" customFormat="1" ht="18" customHeight="1" x14ac:dyDescent="0.3">
      <c r="A56" s="526"/>
      <c r="B56" s="540" t="s">
        <v>141</v>
      </c>
      <c r="C56" s="275" t="s">
        <v>149</v>
      </c>
      <c r="D56" s="541" t="s">
        <v>150</v>
      </c>
      <c r="E56" s="276">
        <v>46204</v>
      </c>
      <c r="F56" s="334">
        <v>1307888</v>
      </c>
      <c r="G56" s="281" t="s">
        <v>151</v>
      </c>
      <c r="H56" s="334"/>
      <c r="I56" s="334">
        <f t="shared" si="16"/>
        <v>1307888</v>
      </c>
      <c r="J56" s="201">
        <f t="shared" si="0"/>
        <v>0</v>
      </c>
      <c r="K56" s="198"/>
      <c r="L56" s="237"/>
      <c r="M56" s="72"/>
      <c r="N56" s="72"/>
      <c r="O56" s="72"/>
      <c r="P56" s="72"/>
      <c r="Q56" s="72"/>
      <c r="R56" s="72">
        <f>F56</f>
        <v>1307888</v>
      </c>
      <c r="S56" s="72"/>
      <c r="T56" s="72"/>
      <c r="U56" s="72"/>
      <c r="V56" s="72"/>
      <c r="W56" s="72"/>
      <c r="X56" s="72"/>
      <c r="Y56" s="72"/>
    </row>
    <row r="57" spans="1:25" s="10" customFormat="1" ht="18" customHeight="1" x14ac:dyDescent="0.3">
      <c r="A57" s="526">
        <v>8</v>
      </c>
      <c r="B57" s="540" t="s">
        <v>152</v>
      </c>
      <c r="C57" s="275">
        <v>2627103594</v>
      </c>
      <c r="D57" s="541" t="s">
        <v>153</v>
      </c>
      <c r="E57" s="276">
        <v>46113</v>
      </c>
      <c r="F57" s="334">
        <v>690054</v>
      </c>
      <c r="G57" s="281" t="s">
        <v>154</v>
      </c>
      <c r="H57" s="536"/>
      <c r="I57" s="334">
        <f t="shared" si="16"/>
        <v>690054</v>
      </c>
      <c r="J57" s="201">
        <f t="shared" si="0"/>
        <v>0</v>
      </c>
      <c r="K57" s="198" t="s">
        <v>155</v>
      </c>
      <c r="L57" s="237"/>
      <c r="M57" s="72"/>
      <c r="N57" s="72"/>
      <c r="O57" s="72"/>
      <c r="P57" s="72"/>
      <c r="Q57" s="72"/>
      <c r="R57" s="72"/>
      <c r="S57" s="72"/>
      <c r="T57" s="72"/>
      <c r="U57" s="72">
        <f>F57</f>
        <v>690054</v>
      </c>
      <c r="V57" s="72"/>
      <c r="W57" s="72"/>
      <c r="X57" s="72"/>
      <c r="Y57" s="72"/>
    </row>
    <row r="58" spans="1:25" s="10" customFormat="1" ht="18" customHeight="1" x14ac:dyDescent="0.3">
      <c r="A58" s="526"/>
      <c r="B58" s="540" t="s">
        <v>152</v>
      </c>
      <c r="C58" s="275">
        <v>2627103595</v>
      </c>
      <c r="D58" s="541" t="s">
        <v>153</v>
      </c>
      <c r="E58" s="276">
        <v>46143</v>
      </c>
      <c r="F58" s="334">
        <v>740804</v>
      </c>
      <c r="G58" s="281" t="s">
        <v>154</v>
      </c>
      <c r="H58" s="536"/>
      <c r="I58" s="334">
        <f t="shared" si="16"/>
        <v>740804</v>
      </c>
      <c r="J58" s="201">
        <f t="shared" si="0"/>
        <v>0</v>
      </c>
      <c r="K58" s="198" t="s">
        <v>155</v>
      </c>
      <c r="L58" s="237"/>
      <c r="M58" s="72"/>
      <c r="N58" s="72"/>
      <c r="O58" s="72"/>
      <c r="P58" s="72"/>
      <c r="Q58" s="72"/>
      <c r="R58" s="72"/>
      <c r="S58" s="72"/>
      <c r="T58" s="72"/>
      <c r="U58" s="72">
        <f t="shared" ref="U58:U59" si="17">F58</f>
        <v>740804</v>
      </c>
      <c r="V58" s="72"/>
      <c r="W58" s="72"/>
      <c r="X58" s="72"/>
      <c r="Y58" s="72"/>
    </row>
    <row r="59" spans="1:25" s="10" customFormat="1" ht="18" customHeight="1" x14ac:dyDescent="0.3">
      <c r="A59" s="526"/>
      <c r="B59" s="540" t="s">
        <v>152</v>
      </c>
      <c r="C59" s="275">
        <v>2627103596</v>
      </c>
      <c r="D59" s="541" t="s">
        <v>153</v>
      </c>
      <c r="E59" s="276">
        <v>46174</v>
      </c>
      <c r="F59" s="334">
        <v>770488</v>
      </c>
      <c r="G59" s="281" t="s">
        <v>154</v>
      </c>
      <c r="H59" s="536"/>
      <c r="I59" s="334">
        <f t="shared" si="16"/>
        <v>770488</v>
      </c>
      <c r="J59" s="201">
        <f t="shared" ref="J59:J94" si="18">F59-H59-I59</f>
        <v>0</v>
      </c>
      <c r="K59" s="198" t="s">
        <v>155</v>
      </c>
      <c r="L59" s="237"/>
      <c r="M59" s="72"/>
      <c r="N59" s="72"/>
      <c r="O59" s="72"/>
      <c r="P59" s="72"/>
      <c r="Q59" s="72"/>
      <c r="R59" s="72"/>
      <c r="S59" s="72"/>
      <c r="T59" s="72"/>
      <c r="U59" s="72">
        <f t="shared" si="17"/>
        <v>770488</v>
      </c>
      <c r="V59" s="72"/>
      <c r="W59" s="72"/>
      <c r="X59" s="72"/>
      <c r="Y59" s="72"/>
    </row>
    <row r="60" spans="1:25" s="10" customFormat="1" ht="18" customHeight="1" x14ac:dyDescent="0.3">
      <c r="A60" s="526">
        <v>9</v>
      </c>
      <c r="B60" s="540" t="s">
        <v>156</v>
      </c>
      <c r="C60" s="275" t="s">
        <v>157</v>
      </c>
      <c r="D60" s="541" t="s">
        <v>158</v>
      </c>
      <c r="E60" s="276" t="s">
        <v>159</v>
      </c>
      <c r="F60" s="334">
        <v>700330</v>
      </c>
      <c r="G60" s="281" t="s">
        <v>34</v>
      </c>
      <c r="H60" s="334">
        <v>700330</v>
      </c>
      <c r="I60" s="334"/>
      <c r="J60" s="201">
        <f t="shared" si="18"/>
        <v>0</v>
      </c>
      <c r="K60" s="29" t="s">
        <v>160</v>
      </c>
      <c r="L60" s="21"/>
      <c r="M60" s="72"/>
      <c r="N60" s="72"/>
      <c r="O60" s="72"/>
      <c r="P60" s="72"/>
      <c r="Q60" s="72"/>
      <c r="R60" s="72"/>
      <c r="S60" s="72">
        <f>H60</f>
        <v>700330</v>
      </c>
      <c r="T60" s="72"/>
      <c r="U60" s="72"/>
      <c r="V60" s="72"/>
      <c r="W60" s="72"/>
      <c r="X60" s="72"/>
      <c r="Y60" s="72"/>
    </row>
    <row r="61" spans="1:25" s="10" customFormat="1" ht="18" customHeight="1" x14ac:dyDescent="0.3">
      <c r="A61" s="526"/>
      <c r="B61" s="540" t="s">
        <v>156</v>
      </c>
      <c r="C61" s="275" t="s">
        <v>161</v>
      </c>
      <c r="D61" s="275" t="s">
        <v>162</v>
      </c>
      <c r="E61" s="276" t="s">
        <v>163</v>
      </c>
      <c r="F61" s="334">
        <v>624810</v>
      </c>
      <c r="G61" s="531" t="s">
        <v>28</v>
      </c>
      <c r="H61" s="334"/>
      <c r="I61" s="334">
        <f t="shared" ref="I61:I62" si="19">F61</f>
        <v>624810</v>
      </c>
      <c r="J61" s="201">
        <f t="shared" si="18"/>
        <v>0</v>
      </c>
      <c r="K61" s="29"/>
      <c r="L61" s="21"/>
      <c r="M61" s="72"/>
      <c r="N61" s="72"/>
      <c r="O61" s="72"/>
      <c r="P61" s="72"/>
      <c r="Q61" s="72"/>
      <c r="R61" s="72"/>
      <c r="S61" s="72">
        <f t="shared" ref="S61:S62" si="20">H61</f>
        <v>0</v>
      </c>
      <c r="T61" s="72"/>
      <c r="U61" s="72"/>
      <c r="V61" s="72"/>
      <c r="W61" s="72"/>
      <c r="X61" s="72"/>
      <c r="Y61" s="72"/>
    </row>
    <row r="62" spans="1:25" s="10" customFormat="1" ht="18" customHeight="1" x14ac:dyDescent="0.3">
      <c r="A62" s="526"/>
      <c r="B62" s="540" t="s">
        <v>156</v>
      </c>
      <c r="C62" s="275" t="s">
        <v>164</v>
      </c>
      <c r="D62" s="275" t="s">
        <v>162</v>
      </c>
      <c r="E62" s="276" t="s">
        <v>165</v>
      </c>
      <c r="F62" s="334">
        <v>631300</v>
      </c>
      <c r="G62" s="531" t="s">
        <v>28</v>
      </c>
      <c r="H62" s="334"/>
      <c r="I62" s="334">
        <f t="shared" si="19"/>
        <v>631300</v>
      </c>
      <c r="J62" s="201">
        <f t="shared" si="18"/>
        <v>0</v>
      </c>
      <c r="K62" s="29"/>
      <c r="L62" s="21"/>
      <c r="M62" s="72"/>
      <c r="N62" s="72"/>
      <c r="O62" s="72"/>
      <c r="P62" s="72"/>
      <c r="Q62" s="72"/>
      <c r="R62" s="72"/>
      <c r="S62" s="72">
        <f t="shared" si="20"/>
        <v>0</v>
      </c>
      <c r="T62" s="72"/>
      <c r="U62" s="72"/>
      <c r="V62" s="72"/>
      <c r="W62" s="72"/>
      <c r="X62" s="72"/>
      <c r="Y62" s="72"/>
    </row>
    <row r="63" spans="1:25" s="10" customFormat="1" ht="18" customHeight="1" x14ac:dyDescent="0.3">
      <c r="A63" s="526">
        <v>10</v>
      </c>
      <c r="B63" s="540" t="s">
        <v>166</v>
      </c>
      <c r="C63" s="523">
        <v>46154</v>
      </c>
      <c r="D63" s="275"/>
      <c r="E63" s="542"/>
      <c r="F63" s="543">
        <v>329987</v>
      </c>
      <c r="G63" s="281" t="s">
        <v>34</v>
      </c>
      <c r="H63" s="543">
        <v>329987</v>
      </c>
      <c r="I63" s="543"/>
      <c r="J63" s="201">
        <f t="shared" si="18"/>
        <v>0</v>
      </c>
      <c r="K63" s="29" t="s">
        <v>75</v>
      </c>
      <c r="L63" s="21"/>
      <c r="M63" s="72"/>
      <c r="N63" s="72"/>
      <c r="O63" s="72"/>
      <c r="P63" s="72"/>
      <c r="Q63" s="72"/>
      <c r="R63" s="72"/>
      <c r="S63" s="72">
        <f>H63</f>
        <v>329987</v>
      </c>
      <c r="T63" s="72"/>
      <c r="U63" s="72"/>
      <c r="V63" s="72"/>
      <c r="W63" s="72"/>
      <c r="X63" s="72"/>
      <c r="Y63" s="72"/>
    </row>
    <row r="64" spans="1:25" s="10" customFormat="1" ht="18" customHeight="1" x14ac:dyDescent="0.3">
      <c r="A64" s="526">
        <v>11</v>
      </c>
      <c r="B64" s="524" t="s">
        <v>167</v>
      </c>
      <c r="C64" s="544" t="s">
        <v>168</v>
      </c>
      <c r="D64" s="545">
        <v>45937</v>
      </c>
      <c r="E64" s="543">
        <v>1925783.6</v>
      </c>
      <c r="F64" s="543">
        <v>962891.60000000009</v>
      </c>
      <c r="G64" s="546"/>
      <c r="H64" s="543"/>
      <c r="I64" s="547">
        <f>F64</f>
        <v>962891.60000000009</v>
      </c>
      <c r="J64" s="201">
        <f t="shared" si="18"/>
        <v>0</v>
      </c>
      <c r="K64" s="212" t="s">
        <v>116</v>
      </c>
      <c r="L64" s="594" t="s">
        <v>169</v>
      </c>
      <c r="M64" s="72"/>
      <c r="N64" s="72"/>
      <c r="O64" s="72"/>
      <c r="P64" s="72"/>
      <c r="Q64" s="72"/>
      <c r="R64" s="72"/>
      <c r="S64" s="72"/>
      <c r="T64" s="72"/>
      <c r="U64" s="72"/>
      <c r="V64" s="72"/>
      <c r="W64" s="72"/>
      <c r="X64" s="72"/>
      <c r="Y64" s="72"/>
    </row>
    <row r="65" spans="1:25" s="10" customFormat="1" ht="18" customHeight="1" x14ac:dyDescent="0.3">
      <c r="A65" s="524"/>
      <c r="B65" s="524" t="s">
        <v>167</v>
      </c>
      <c r="C65" s="544" t="s">
        <v>170</v>
      </c>
      <c r="D65" s="545">
        <v>45937</v>
      </c>
      <c r="E65" s="543">
        <v>358285.36</v>
      </c>
      <c r="F65" s="543">
        <v>268714.36</v>
      </c>
      <c r="G65" s="546"/>
      <c r="H65" s="543"/>
      <c r="I65" s="547">
        <f t="shared" ref="I65:I67" si="21">F65</f>
        <v>268714.36</v>
      </c>
      <c r="J65" s="201">
        <f t="shared" si="18"/>
        <v>0</v>
      </c>
      <c r="K65" s="212" t="s">
        <v>116</v>
      </c>
      <c r="L65" s="594"/>
      <c r="M65" s="72"/>
      <c r="N65" s="72"/>
      <c r="O65" s="72"/>
      <c r="P65" s="72"/>
      <c r="Q65" s="72"/>
      <c r="R65" s="72"/>
      <c r="S65" s="72"/>
      <c r="T65" s="72"/>
      <c r="U65" s="72"/>
      <c r="V65" s="72"/>
      <c r="W65" s="72"/>
      <c r="X65" s="72"/>
      <c r="Y65" s="72"/>
    </row>
    <row r="66" spans="1:25" s="10" customFormat="1" ht="18" customHeight="1" x14ac:dyDescent="0.3">
      <c r="A66" s="524"/>
      <c r="B66" s="524" t="s">
        <v>167</v>
      </c>
      <c r="C66" s="544" t="s">
        <v>171</v>
      </c>
      <c r="D66" s="545">
        <v>45937</v>
      </c>
      <c r="E66" s="543">
        <v>358285.36</v>
      </c>
      <c r="F66" s="543">
        <v>268713.36</v>
      </c>
      <c r="G66" s="546"/>
      <c r="H66" s="543"/>
      <c r="I66" s="547">
        <f t="shared" si="21"/>
        <v>268713.36</v>
      </c>
      <c r="J66" s="201">
        <f t="shared" si="18"/>
        <v>0</v>
      </c>
      <c r="K66" s="212" t="s">
        <v>116</v>
      </c>
      <c r="L66" s="594"/>
      <c r="M66" s="72"/>
      <c r="N66" s="72"/>
      <c r="O66" s="72"/>
      <c r="P66" s="72"/>
      <c r="Q66" s="72"/>
      <c r="R66" s="72"/>
      <c r="S66" s="72"/>
      <c r="T66" s="72"/>
      <c r="U66" s="72"/>
      <c r="V66" s="72"/>
      <c r="W66" s="72"/>
      <c r="X66" s="72"/>
      <c r="Y66" s="72"/>
    </row>
    <row r="67" spans="1:25" s="10" customFormat="1" ht="18" customHeight="1" x14ac:dyDescent="0.3">
      <c r="A67" s="524"/>
      <c r="B67" s="524" t="s">
        <v>167</v>
      </c>
      <c r="C67" s="544" t="s">
        <v>172</v>
      </c>
      <c r="D67" s="545">
        <v>45937</v>
      </c>
      <c r="E67" s="543">
        <v>358285.36</v>
      </c>
      <c r="F67" s="543">
        <v>268713.36</v>
      </c>
      <c r="G67" s="546"/>
      <c r="H67" s="543"/>
      <c r="I67" s="547">
        <f t="shared" si="21"/>
        <v>268713.36</v>
      </c>
      <c r="J67" s="201">
        <f t="shared" si="18"/>
        <v>0</v>
      </c>
      <c r="K67" s="212" t="s">
        <v>116</v>
      </c>
      <c r="L67" s="594"/>
      <c r="M67" s="72"/>
      <c r="N67" s="72"/>
      <c r="O67" s="72"/>
      <c r="P67" s="72"/>
      <c r="Q67" s="72"/>
      <c r="R67" s="72"/>
      <c r="S67" s="72"/>
      <c r="T67" s="72"/>
      <c r="U67" s="72"/>
      <c r="V67" s="72"/>
      <c r="W67" s="72"/>
      <c r="X67" s="72"/>
      <c r="Y67" s="72"/>
    </row>
    <row r="68" spans="1:25" ht="18" customHeight="1" x14ac:dyDescent="0.3">
      <c r="A68" s="526">
        <v>12</v>
      </c>
      <c r="B68" s="540" t="s">
        <v>173</v>
      </c>
      <c r="C68" s="275" t="s">
        <v>174</v>
      </c>
      <c r="D68" s="541" t="s">
        <v>148</v>
      </c>
      <c r="E68" s="275"/>
      <c r="F68" s="334">
        <v>2086240</v>
      </c>
      <c r="G68" s="281" t="s">
        <v>175</v>
      </c>
      <c r="H68" s="275"/>
      <c r="I68" s="334">
        <f t="shared" ref="I68" si="22">F68</f>
        <v>2086240</v>
      </c>
      <c r="J68" s="201">
        <f t="shared" si="18"/>
        <v>0</v>
      </c>
      <c r="K68" s="195"/>
      <c r="M68" s="304">
        <f>F68</f>
        <v>2086240</v>
      </c>
    </row>
    <row r="69" spans="1:25" s="10" customFormat="1" ht="18" customHeight="1" x14ac:dyDescent="0.3">
      <c r="A69" s="526">
        <v>13</v>
      </c>
      <c r="B69" s="540" t="s">
        <v>176</v>
      </c>
      <c r="C69" s="276" t="s">
        <v>20</v>
      </c>
      <c r="D69" s="541" t="s">
        <v>177</v>
      </c>
      <c r="E69" s="275"/>
      <c r="F69" s="334">
        <v>2500000</v>
      </c>
      <c r="G69" s="281" t="s">
        <v>34</v>
      </c>
      <c r="H69" s="530">
        <f>F69</f>
        <v>2500000</v>
      </c>
      <c r="I69" s="530"/>
      <c r="J69" s="201">
        <f t="shared" si="18"/>
        <v>0</v>
      </c>
      <c r="K69" s="195" t="s">
        <v>153</v>
      </c>
      <c r="L69" s="237"/>
      <c r="M69" s="72"/>
      <c r="N69" s="72"/>
      <c r="O69" s="72"/>
      <c r="P69" s="72"/>
      <c r="Q69" s="72"/>
      <c r="R69" s="72"/>
      <c r="S69" s="72"/>
      <c r="T69" s="72"/>
      <c r="U69" s="72">
        <f>F69</f>
        <v>2500000</v>
      </c>
      <c r="V69" s="72"/>
      <c r="W69" s="72"/>
      <c r="X69" s="72"/>
      <c r="Y69" s="72"/>
    </row>
    <row r="70" spans="1:25" s="10" customFormat="1" ht="18" customHeight="1" x14ac:dyDescent="0.3">
      <c r="A70" s="528"/>
      <c r="B70" s="540" t="s">
        <v>176</v>
      </c>
      <c r="C70" s="275" t="s">
        <v>16</v>
      </c>
      <c r="D70" s="541"/>
      <c r="E70" s="275"/>
      <c r="F70" s="334">
        <v>500000</v>
      </c>
      <c r="G70" s="281" t="s">
        <v>34</v>
      </c>
      <c r="H70" s="530">
        <f>F70</f>
        <v>500000</v>
      </c>
      <c r="I70" s="530"/>
      <c r="J70" s="201">
        <f t="shared" si="18"/>
        <v>0</v>
      </c>
      <c r="K70" s="195" t="s">
        <v>153</v>
      </c>
      <c r="L70" s="237"/>
      <c r="M70" s="72"/>
      <c r="N70" s="72"/>
      <c r="O70" s="72"/>
      <c r="P70" s="72"/>
      <c r="Q70" s="72"/>
      <c r="R70" s="72"/>
      <c r="S70" s="72"/>
      <c r="T70" s="72"/>
      <c r="U70" s="72"/>
      <c r="V70" s="72">
        <f>F70</f>
        <v>500000</v>
      </c>
      <c r="W70" s="72"/>
      <c r="X70" s="72"/>
      <c r="Y70" s="72"/>
    </row>
    <row r="71" spans="1:25" s="10" customFormat="1" ht="18" customHeight="1" x14ac:dyDescent="0.3">
      <c r="A71" s="528">
        <v>14</v>
      </c>
      <c r="B71" s="524" t="s">
        <v>178</v>
      </c>
      <c r="C71" s="275" t="s">
        <v>179</v>
      </c>
      <c r="D71" s="545">
        <v>45775</v>
      </c>
      <c r="E71" s="275"/>
      <c r="F71" s="334">
        <v>39618000</v>
      </c>
      <c r="G71" s="281" t="s">
        <v>34</v>
      </c>
      <c r="H71" s="548">
        <f>F71</f>
        <v>39618000</v>
      </c>
      <c r="I71" s="548"/>
      <c r="J71" s="201">
        <f t="shared" si="18"/>
        <v>0</v>
      </c>
      <c r="K71" s="195" t="s">
        <v>180</v>
      </c>
      <c r="L71" s="237"/>
      <c r="M71" s="72"/>
      <c r="N71" s="72"/>
      <c r="O71" s="72"/>
      <c r="P71" s="72"/>
      <c r="Q71" s="72"/>
      <c r="R71" s="72">
        <f>F71</f>
        <v>39618000</v>
      </c>
      <c r="S71" s="72"/>
      <c r="T71" s="72"/>
      <c r="U71" s="72"/>
      <c r="V71" s="72"/>
      <c r="W71" s="72"/>
      <c r="X71" s="72"/>
      <c r="Y71" s="72"/>
    </row>
    <row r="72" spans="1:25" s="10" customFormat="1" ht="18" customHeight="1" x14ac:dyDescent="0.3">
      <c r="A72" s="528"/>
      <c r="B72" s="524" t="s">
        <v>178</v>
      </c>
      <c r="C72" s="275" t="s">
        <v>181</v>
      </c>
      <c r="D72" s="545">
        <v>46167</v>
      </c>
      <c r="E72" s="275"/>
      <c r="F72" s="334">
        <v>15166000</v>
      </c>
      <c r="G72" s="281" t="s">
        <v>34</v>
      </c>
      <c r="H72" s="548">
        <f>F72</f>
        <v>15166000</v>
      </c>
      <c r="I72" s="548"/>
      <c r="J72" s="201">
        <f t="shared" si="18"/>
        <v>0</v>
      </c>
      <c r="K72" s="195" t="s">
        <v>180</v>
      </c>
      <c r="L72" s="237"/>
      <c r="M72" s="72"/>
      <c r="N72" s="72"/>
      <c r="O72" s="72"/>
      <c r="P72" s="72"/>
      <c r="Q72" s="72"/>
      <c r="R72" s="72"/>
      <c r="S72" s="72">
        <f>F72</f>
        <v>15166000</v>
      </c>
      <c r="T72" s="72"/>
      <c r="U72" s="72"/>
      <c r="V72" s="72"/>
      <c r="W72" s="72"/>
      <c r="X72" s="72"/>
      <c r="Y72" s="72"/>
    </row>
    <row r="73" spans="1:25" s="10" customFormat="1" ht="18" customHeight="1" x14ac:dyDescent="0.3">
      <c r="A73" s="526">
        <v>15</v>
      </c>
      <c r="B73" s="540" t="s">
        <v>182</v>
      </c>
      <c r="C73" s="275" t="s">
        <v>183</v>
      </c>
      <c r="D73" s="275" t="s">
        <v>140</v>
      </c>
      <c r="E73" s="275" t="s">
        <v>184</v>
      </c>
      <c r="F73" s="530">
        <v>30400000</v>
      </c>
      <c r="G73" s="275" t="s">
        <v>34</v>
      </c>
      <c r="H73" s="530">
        <v>30400000</v>
      </c>
      <c r="I73" s="530"/>
      <c r="J73" s="201">
        <f t="shared" si="18"/>
        <v>0</v>
      </c>
      <c r="K73" s="195" t="s">
        <v>140</v>
      </c>
      <c r="L73" s="237"/>
      <c r="M73" s="72"/>
      <c r="N73" s="72"/>
      <c r="O73" s="72"/>
      <c r="P73" s="72"/>
      <c r="Q73" s="72"/>
      <c r="R73" s="72"/>
      <c r="S73" s="72"/>
      <c r="T73" s="72"/>
      <c r="U73" s="72"/>
      <c r="V73" s="72"/>
      <c r="W73" s="72"/>
      <c r="X73" s="72"/>
      <c r="Y73" s="72">
        <f>H73</f>
        <v>30400000</v>
      </c>
    </row>
    <row r="74" spans="1:25" s="10" customFormat="1" ht="18" customHeight="1" x14ac:dyDescent="0.3">
      <c r="A74" s="526"/>
      <c r="B74" s="540" t="s">
        <v>182</v>
      </c>
      <c r="C74" s="275"/>
      <c r="D74" s="275"/>
      <c r="E74" s="275" t="s">
        <v>185</v>
      </c>
      <c r="F74" s="530">
        <v>30400000</v>
      </c>
      <c r="G74" s="275" t="s">
        <v>34</v>
      </c>
      <c r="H74" s="530">
        <v>30400000</v>
      </c>
      <c r="I74" s="530"/>
      <c r="J74" s="201">
        <f t="shared" si="18"/>
        <v>0</v>
      </c>
      <c r="K74" s="195" t="s">
        <v>140</v>
      </c>
      <c r="L74" s="237"/>
      <c r="M74" s="72"/>
      <c r="N74" s="72"/>
      <c r="O74" s="72"/>
      <c r="P74" s="72"/>
      <c r="Q74" s="72"/>
      <c r="R74" s="72"/>
      <c r="S74" s="72"/>
      <c r="T74" s="72"/>
      <c r="U74" s="72"/>
      <c r="V74" s="72"/>
      <c r="W74" s="72"/>
      <c r="X74" s="72"/>
      <c r="Y74" s="72">
        <f t="shared" ref="Y74:Y85" si="23">H74</f>
        <v>30400000</v>
      </c>
    </row>
    <row r="75" spans="1:25" s="10" customFormat="1" ht="18" customHeight="1" x14ac:dyDescent="0.3">
      <c r="A75" s="526"/>
      <c r="B75" s="540" t="s">
        <v>182</v>
      </c>
      <c r="C75" s="275"/>
      <c r="D75" s="275"/>
      <c r="E75" s="275" t="s">
        <v>186</v>
      </c>
      <c r="F75" s="530">
        <v>30400000</v>
      </c>
      <c r="G75" s="275" t="s">
        <v>34</v>
      </c>
      <c r="H75" s="530">
        <v>30400000</v>
      </c>
      <c r="I75" s="530"/>
      <c r="J75" s="201">
        <f t="shared" si="18"/>
        <v>0</v>
      </c>
      <c r="K75" s="195" t="s">
        <v>140</v>
      </c>
      <c r="L75" s="237"/>
      <c r="M75" s="72"/>
      <c r="N75" s="72"/>
      <c r="O75" s="72"/>
      <c r="P75" s="72"/>
      <c r="Q75" s="72"/>
      <c r="R75" s="72"/>
      <c r="S75" s="72"/>
      <c r="T75" s="72"/>
      <c r="U75" s="72"/>
      <c r="V75" s="72"/>
      <c r="W75" s="72"/>
      <c r="X75" s="72"/>
      <c r="Y75" s="72">
        <f t="shared" si="23"/>
        <v>30400000</v>
      </c>
    </row>
    <row r="76" spans="1:25" s="10" customFormat="1" ht="18" customHeight="1" x14ac:dyDescent="0.3">
      <c r="A76" s="526"/>
      <c r="B76" s="540" t="s">
        <v>182</v>
      </c>
      <c r="C76" s="275"/>
      <c r="D76" s="275"/>
      <c r="E76" s="275" t="s">
        <v>187</v>
      </c>
      <c r="F76" s="530">
        <v>30400000</v>
      </c>
      <c r="G76" s="275" t="s">
        <v>34</v>
      </c>
      <c r="H76" s="530">
        <v>30400000</v>
      </c>
      <c r="I76" s="530"/>
      <c r="J76" s="201">
        <f t="shared" si="18"/>
        <v>0</v>
      </c>
      <c r="K76" s="195" t="s">
        <v>140</v>
      </c>
      <c r="L76" s="237"/>
      <c r="M76" s="72"/>
      <c r="N76" s="72"/>
      <c r="O76" s="72"/>
      <c r="P76" s="72"/>
      <c r="Q76" s="72"/>
      <c r="R76" s="72"/>
      <c r="S76" s="72"/>
      <c r="T76" s="72"/>
      <c r="U76" s="72"/>
      <c r="V76" s="72"/>
      <c r="W76" s="72"/>
      <c r="X76" s="72"/>
      <c r="Y76" s="72">
        <f t="shared" si="23"/>
        <v>30400000</v>
      </c>
    </row>
    <row r="77" spans="1:25" s="10" customFormat="1" ht="18" customHeight="1" x14ac:dyDescent="0.3">
      <c r="A77" s="526"/>
      <c r="B77" s="540" t="s">
        <v>182</v>
      </c>
      <c r="C77" s="275"/>
      <c r="D77" s="275"/>
      <c r="E77" s="275" t="s">
        <v>188</v>
      </c>
      <c r="F77" s="530">
        <v>30400000</v>
      </c>
      <c r="G77" s="275" t="s">
        <v>34</v>
      </c>
      <c r="H77" s="530">
        <v>30400000</v>
      </c>
      <c r="I77" s="530"/>
      <c r="J77" s="201">
        <f t="shared" si="18"/>
        <v>0</v>
      </c>
      <c r="K77" s="195" t="s">
        <v>140</v>
      </c>
      <c r="L77" s="237"/>
      <c r="M77" s="72"/>
      <c r="N77" s="72"/>
      <c r="O77" s="72"/>
      <c r="P77" s="72"/>
      <c r="Q77" s="72"/>
      <c r="R77" s="72"/>
      <c r="S77" s="72"/>
      <c r="T77" s="72"/>
      <c r="U77" s="72"/>
      <c r="V77" s="72"/>
      <c r="W77" s="72"/>
      <c r="X77" s="72"/>
      <c r="Y77" s="72">
        <f t="shared" si="23"/>
        <v>30400000</v>
      </c>
    </row>
    <row r="78" spans="1:25" s="10" customFormat="1" ht="18" customHeight="1" x14ac:dyDescent="0.3">
      <c r="A78" s="526"/>
      <c r="B78" s="540" t="s">
        <v>182</v>
      </c>
      <c r="C78" s="275"/>
      <c r="D78" s="275"/>
      <c r="E78" s="275" t="s">
        <v>189</v>
      </c>
      <c r="F78" s="530">
        <v>30400000</v>
      </c>
      <c r="G78" s="275" t="s">
        <v>34</v>
      </c>
      <c r="H78" s="530">
        <v>30400000</v>
      </c>
      <c r="I78" s="530"/>
      <c r="J78" s="201">
        <f t="shared" si="18"/>
        <v>0</v>
      </c>
      <c r="K78" s="195" t="s">
        <v>140</v>
      </c>
      <c r="L78" s="237"/>
      <c r="M78" s="72"/>
      <c r="N78" s="72"/>
      <c r="O78" s="72"/>
      <c r="P78" s="72"/>
      <c r="Q78" s="72"/>
      <c r="R78" s="72"/>
      <c r="S78" s="72"/>
      <c r="T78" s="72"/>
      <c r="U78" s="72"/>
      <c r="V78" s="72"/>
      <c r="W78" s="72"/>
      <c r="X78" s="72"/>
      <c r="Y78" s="72">
        <f t="shared" si="23"/>
        <v>30400000</v>
      </c>
    </row>
    <row r="79" spans="1:25" s="10" customFormat="1" ht="18" customHeight="1" x14ac:dyDescent="0.3">
      <c r="A79" s="526"/>
      <c r="B79" s="540" t="s">
        <v>182</v>
      </c>
      <c r="C79" s="275"/>
      <c r="D79" s="275"/>
      <c r="E79" s="275" t="s">
        <v>190</v>
      </c>
      <c r="F79" s="530">
        <v>30400000</v>
      </c>
      <c r="G79" s="275" t="s">
        <v>34</v>
      </c>
      <c r="H79" s="530">
        <v>30400000</v>
      </c>
      <c r="I79" s="530"/>
      <c r="J79" s="201">
        <f t="shared" si="18"/>
        <v>0</v>
      </c>
      <c r="K79" s="195" t="s">
        <v>140</v>
      </c>
      <c r="L79" s="237"/>
      <c r="M79" s="72"/>
      <c r="N79" s="72"/>
      <c r="O79" s="72"/>
      <c r="P79" s="72"/>
      <c r="Q79" s="72"/>
      <c r="R79" s="72"/>
      <c r="S79" s="72"/>
      <c r="T79" s="72"/>
      <c r="U79" s="72"/>
      <c r="V79" s="72"/>
      <c r="W79" s="72"/>
      <c r="X79" s="72"/>
      <c r="Y79" s="72">
        <f t="shared" si="23"/>
        <v>30400000</v>
      </c>
    </row>
    <row r="80" spans="1:25" s="10" customFormat="1" ht="18" customHeight="1" x14ac:dyDescent="0.3">
      <c r="A80" s="526"/>
      <c r="B80" s="540" t="s">
        <v>182</v>
      </c>
      <c r="C80" s="275"/>
      <c r="D80" s="275"/>
      <c r="E80" s="275" t="s">
        <v>191</v>
      </c>
      <c r="F80" s="530">
        <v>30400000</v>
      </c>
      <c r="G80" s="275" t="s">
        <v>34</v>
      </c>
      <c r="H80" s="530">
        <v>30400000</v>
      </c>
      <c r="I80" s="530"/>
      <c r="J80" s="201">
        <f t="shared" si="18"/>
        <v>0</v>
      </c>
      <c r="K80" s="195" t="s">
        <v>140</v>
      </c>
      <c r="L80" s="237"/>
      <c r="M80" s="72"/>
      <c r="N80" s="72"/>
      <c r="O80" s="72"/>
      <c r="P80" s="72"/>
      <c r="Q80" s="72"/>
      <c r="R80" s="72"/>
      <c r="S80" s="72"/>
      <c r="T80" s="72"/>
      <c r="U80" s="72"/>
      <c r="V80" s="72"/>
      <c r="W80" s="72"/>
      <c r="X80" s="72"/>
      <c r="Y80" s="72">
        <f t="shared" si="23"/>
        <v>30400000</v>
      </c>
    </row>
    <row r="81" spans="1:25" s="10" customFormat="1" ht="18" customHeight="1" x14ac:dyDescent="0.3">
      <c r="A81" s="526"/>
      <c r="B81" s="540" t="s">
        <v>182</v>
      </c>
      <c r="C81" s="275"/>
      <c r="D81" s="275"/>
      <c r="E81" s="275" t="s">
        <v>192</v>
      </c>
      <c r="F81" s="530">
        <v>30400000</v>
      </c>
      <c r="G81" s="275" t="s">
        <v>34</v>
      </c>
      <c r="H81" s="530">
        <v>30400000</v>
      </c>
      <c r="I81" s="530"/>
      <c r="J81" s="201">
        <f t="shared" si="18"/>
        <v>0</v>
      </c>
      <c r="K81" s="195" t="s">
        <v>140</v>
      </c>
      <c r="L81" s="237"/>
      <c r="M81" s="72"/>
      <c r="N81" s="72"/>
      <c r="O81" s="72"/>
      <c r="P81" s="72"/>
      <c r="Q81" s="72"/>
      <c r="R81" s="72"/>
      <c r="S81" s="72"/>
      <c r="T81" s="72"/>
      <c r="U81" s="72"/>
      <c r="V81" s="72"/>
      <c r="W81" s="72"/>
      <c r="X81" s="72"/>
      <c r="Y81" s="72">
        <f t="shared" si="23"/>
        <v>30400000</v>
      </c>
    </row>
    <row r="82" spans="1:25" s="10" customFormat="1" ht="18" customHeight="1" x14ac:dyDescent="0.3">
      <c r="A82" s="526"/>
      <c r="B82" s="540" t="s">
        <v>182</v>
      </c>
      <c r="C82" s="275"/>
      <c r="D82" s="275"/>
      <c r="E82" s="275" t="s">
        <v>193</v>
      </c>
      <c r="F82" s="530">
        <v>30400000</v>
      </c>
      <c r="G82" s="275" t="s">
        <v>34</v>
      </c>
      <c r="H82" s="530">
        <v>30400000</v>
      </c>
      <c r="I82" s="530"/>
      <c r="J82" s="201">
        <f t="shared" si="18"/>
        <v>0</v>
      </c>
      <c r="K82" s="195" t="s">
        <v>140</v>
      </c>
      <c r="L82" s="237"/>
      <c r="M82" s="72"/>
      <c r="N82" s="72"/>
      <c r="O82" s="72"/>
      <c r="P82" s="72"/>
      <c r="Q82" s="72"/>
      <c r="R82" s="72"/>
      <c r="S82" s="72"/>
      <c r="T82" s="72"/>
      <c r="U82" s="72"/>
      <c r="V82" s="72"/>
      <c r="W82" s="72"/>
      <c r="X82" s="72"/>
      <c r="Y82" s="72">
        <f t="shared" si="23"/>
        <v>30400000</v>
      </c>
    </row>
    <row r="83" spans="1:25" s="10" customFormat="1" ht="18" customHeight="1" x14ac:dyDescent="0.3">
      <c r="A83" s="526"/>
      <c r="B83" s="540" t="s">
        <v>182</v>
      </c>
      <c r="C83" s="275"/>
      <c r="D83" s="275"/>
      <c r="E83" s="275" t="s">
        <v>194</v>
      </c>
      <c r="F83" s="530">
        <v>15200000</v>
      </c>
      <c r="G83" s="275" t="s">
        <v>34</v>
      </c>
      <c r="H83" s="530">
        <v>15200000</v>
      </c>
      <c r="I83" s="530"/>
      <c r="J83" s="201">
        <f t="shared" si="18"/>
        <v>0</v>
      </c>
      <c r="K83" s="195" t="s">
        <v>140</v>
      </c>
      <c r="L83" s="237"/>
      <c r="M83" s="72"/>
      <c r="N83" s="72"/>
      <c r="O83" s="72"/>
      <c r="P83" s="72"/>
      <c r="Q83" s="72"/>
      <c r="R83" s="72"/>
      <c r="S83" s="72"/>
      <c r="T83" s="72"/>
      <c r="U83" s="72"/>
      <c r="V83" s="72"/>
      <c r="W83" s="72"/>
      <c r="X83" s="72"/>
      <c r="Y83" s="72">
        <f t="shared" si="23"/>
        <v>15200000</v>
      </c>
    </row>
    <row r="84" spans="1:25" s="10" customFormat="1" ht="18" customHeight="1" x14ac:dyDescent="0.3">
      <c r="A84" s="526"/>
      <c r="B84" s="540" t="s">
        <v>182</v>
      </c>
      <c r="C84" s="275"/>
      <c r="D84" s="275"/>
      <c r="E84" s="275" t="s">
        <v>195</v>
      </c>
      <c r="F84" s="530">
        <v>15200000</v>
      </c>
      <c r="G84" s="275" t="s">
        <v>34</v>
      </c>
      <c r="H84" s="530">
        <v>15200000</v>
      </c>
      <c r="I84" s="530"/>
      <c r="J84" s="201">
        <f t="shared" si="18"/>
        <v>0</v>
      </c>
      <c r="K84" s="195" t="s">
        <v>140</v>
      </c>
      <c r="L84" s="237"/>
      <c r="M84" s="72"/>
      <c r="N84" s="72"/>
      <c r="O84" s="72"/>
      <c r="P84" s="72"/>
      <c r="Q84" s="72"/>
      <c r="R84" s="72"/>
      <c r="S84" s="72"/>
      <c r="T84" s="72"/>
      <c r="U84" s="72"/>
      <c r="V84" s="72"/>
      <c r="W84" s="72"/>
      <c r="X84" s="72"/>
      <c r="Y84" s="72">
        <f t="shared" si="23"/>
        <v>15200000</v>
      </c>
    </row>
    <row r="85" spans="1:25" s="10" customFormat="1" ht="18" customHeight="1" x14ac:dyDescent="0.3">
      <c r="A85" s="526"/>
      <c r="B85" s="540" t="s">
        <v>182</v>
      </c>
      <c r="C85" s="275"/>
      <c r="D85" s="275"/>
      <c r="E85" s="275" t="s">
        <v>196</v>
      </c>
      <c r="F85" s="530">
        <v>15200000</v>
      </c>
      <c r="G85" s="275" t="s">
        <v>34</v>
      </c>
      <c r="H85" s="530">
        <v>15200000</v>
      </c>
      <c r="I85" s="530"/>
      <c r="J85" s="201">
        <f t="shared" si="18"/>
        <v>0</v>
      </c>
      <c r="K85" s="195" t="s">
        <v>140</v>
      </c>
      <c r="L85" s="237"/>
      <c r="M85" s="72"/>
      <c r="N85" s="72"/>
      <c r="O85" s="72"/>
      <c r="P85" s="72"/>
      <c r="Q85" s="72"/>
      <c r="R85" s="72"/>
      <c r="S85" s="72"/>
      <c r="T85" s="72"/>
      <c r="U85" s="72"/>
      <c r="V85" s="72"/>
      <c r="W85" s="72"/>
      <c r="X85" s="72"/>
      <c r="Y85" s="72">
        <f t="shared" si="23"/>
        <v>15200000</v>
      </c>
    </row>
    <row r="86" spans="1:25" s="10" customFormat="1" ht="18" customHeight="1" x14ac:dyDescent="0.3">
      <c r="A86" s="526">
        <v>16</v>
      </c>
      <c r="B86" s="540" t="s">
        <v>197</v>
      </c>
      <c r="C86" s="275">
        <v>878</v>
      </c>
      <c r="D86" s="549" t="s">
        <v>198</v>
      </c>
      <c r="E86" s="276" t="s">
        <v>199</v>
      </c>
      <c r="F86" s="334">
        <v>3562329</v>
      </c>
      <c r="G86" s="558"/>
      <c r="H86" s="334"/>
      <c r="I86" s="334">
        <f>F86</f>
        <v>3562329</v>
      </c>
      <c r="J86" s="201">
        <f t="shared" si="18"/>
        <v>0</v>
      </c>
      <c r="K86" s="198"/>
      <c r="L86" s="202" t="s">
        <v>200</v>
      </c>
      <c r="M86" s="72"/>
      <c r="N86" s="72"/>
      <c r="O86" s="72"/>
      <c r="P86" s="72"/>
      <c r="Q86" s="72"/>
      <c r="R86" s="72"/>
      <c r="S86" s="72">
        <f>F86</f>
        <v>3562329</v>
      </c>
      <c r="T86" s="72"/>
      <c r="U86" s="72"/>
      <c r="V86" s="72"/>
      <c r="W86" s="72"/>
      <c r="X86" s="72"/>
      <c r="Y86" s="72"/>
    </row>
    <row r="87" spans="1:25" s="10" customFormat="1" ht="18" customHeight="1" x14ac:dyDescent="0.3">
      <c r="A87" s="526"/>
      <c r="B87" s="540" t="s">
        <v>201</v>
      </c>
      <c r="C87" s="275" t="s">
        <v>201</v>
      </c>
      <c r="D87" s="549" t="s">
        <v>198</v>
      </c>
      <c r="E87" s="275"/>
      <c r="F87" s="334">
        <v>15000</v>
      </c>
      <c r="G87" s="558"/>
      <c r="H87" s="558"/>
      <c r="I87" s="334">
        <f>F87</f>
        <v>15000</v>
      </c>
      <c r="J87" s="201">
        <f t="shared" si="18"/>
        <v>0</v>
      </c>
      <c r="K87" s="195"/>
      <c r="L87" s="21"/>
      <c r="M87" s="72"/>
      <c r="N87" s="72"/>
      <c r="O87" s="72"/>
      <c r="P87" s="72"/>
      <c r="Q87" s="72"/>
      <c r="R87" s="72"/>
      <c r="S87" s="72">
        <f>F87</f>
        <v>15000</v>
      </c>
      <c r="T87" s="72"/>
      <c r="U87" s="72"/>
      <c r="V87" s="72"/>
      <c r="W87" s="72"/>
      <c r="X87" s="72"/>
      <c r="Y87" s="72"/>
    </row>
    <row r="88" spans="1:25" ht="18" customHeight="1" x14ac:dyDescent="0.3">
      <c r="A88" s="557">
        <v>17</v>
      </c>
      <c r="B88" s="540" t="s">
        <v>202</v>
      </c>
      <c r="C88" s="281" t="s">
        <v>203</v>
      </c>
      <c r="D88" s="281" t="s">
        <v>204</v>
      </c>
      <c r="E88" s="281"/>
      <c r="F88" s="334">
        <f>955800+955800+955800+955800+955800</f>
        <v>4779000</v>
      </c>
      <c r="G88" s="558" t="s">
        <v>34</v>
      </c>
      <c r="H88" s="334">
        <f>955800+955800+955800+955800+955800</f>
        <v>4779000</v>
      </c>
      <c r="I88" s="550"/>
      <c r="J88" s="201">
        <f t="shared" si="18"/>
        <v>0</v>
      </c>
      <c r="K88" s="198"/>
      <c r="L88" s="84"/>
      <c r="M88" s="158"/>
      <c r="N88" s="72"/>
      <c r="O88" s="72"/>
      <c r="P88" s="72"/>
      <c r="Q88" s="72"/>
      <c r="R88" s="72"/>
      <c r="S88" s="72"/>
      <c r="T88" s="72">
        <f>F88</f>
        <v>4779000</v>
      </c>
      <c r="U88" s="72"/>
      <c r="V88" s="72"/>
      <c r="W88" s="72"/>
      <c r="X88" s="72"/>
      <c r="Y88" s="72"/>
    </row>
    <row r="89" spans="1:25" ht="18" customHeight="1" x14ac:dyDescent="0.3">
      <c r="A89" s="557">
        <v>18</v>
      </c>
      <c r="B89" s="540" t="s">
        <v>205</v>
      </c>
      <c r="C89" s="281" t="s">
        <v>206</v>
      </c>
      <c r="D89" s="281" t="s">
        <v>207</v>
      </c>
      <c r="E89" s="281"/>
      <c r="F89" s="334">
        <f>68833+68833+68833+68833</f>
        <v>275332</v>
      </c>
      <c r="G89" s="558" t="s">
        <v>34</v>
      </c>
      <c r="H89" s="334">
        <f>68833+68833+68833+68833</f>
        <v>275332</v>
      </c>
      <c r="I89" s="550"/>
      <c r="J89" s="201">
        <f t="shared" si="18"/>
        <v>0</v>
      </c>
      <c r="K89" s="198"/>
      <c r="L89" s="84"/>
      <c r="M89" s="158"/>
      <c r="N89" s="72"/>
      <c r="O89" s="72"/>
      <c r="P89" s="72"/>
      <c r="Q89" s="72"/>
      <c r="R89" s="72"/>
      <c r="S89" s="72">
        <f>F89</f>
        <v>275332</v>
      </c>
      <c r="T89" s="72"/>
      <c r="U89" s="72"/>
      <c r="V89" s="72"/>
      <c r="W89" s="72"/>
      <c r="X89" s="72"/>
      <c r="Y89" s="72"/>
    </row>
    <row r="90" spans="1:25" ht="18" customHeight="1" x14ac:dyDescent="0.3">
      <c r="A90" s="557">
        <v>19</v>
      </c>
      <c r="B90" s="540" t="s">
        <v>208</v>
      </c>
      <c r="C90" s="281"/>
      <c r="D90" s="281"/>
      <c r="E90" s="281"/>
      <c r="F90" s="334">
        <f>12580+20650+20650</f>
        <v>53880</v>
      </c>
      <c r="G90" s="558" t="s">
        <v>34</v>
      </c>
      <c r="H90" s="334">
        <f>12580+20650+20650</f>
        <v>53880</v>
      </c>
      <c r="I90" s="550"/>
      <c r="J90" s="201">
        <f t="shared" si="18"/>
        <v>0</v>
      </c>
      <c r="K90" s="198"/>
      <c r="L90" s="84"/>
      <c r="M90" s="158"/>
      <c r="N90" s="72"/>
      <c r="O90" s="72"/>
      <c r="P90" s="72"/>
      <c r="Q90" s="72"/>
      <c r="R90" s="72"/>
      <c r="S90" s="72">
        <f t="shared" ref="S90:S91" si="24">F90</f>
        <v>53880</v>
      </c>
      <c r="T90" s="72"/>
      <c r="U90" s="72"/>
      <c r="V90" s="72"/>
      <c r="W90" s="72"/>
      <c r="X90" s="72"/>
      <c r="Y90" s="72"/>
    </row>
    <row r="91" spans="1:25" ht="18" customHeight="1" x14ac:dyDescent="0.3">
      <c r="A91" s="557">
        <v>20</v>
      </c>
      <c r="B91" s="540" t="s">
        <v>209</v>
      </c>
      <c r="C91" s="281"/>
      <c r="D91" s="281"/>
      <c r="E91" s="281"/>
      <c r="F91" s="559">
        <f>102041</f>
        <v>102041</v>
      </c>
      <c r="G91" s="558" t="s">
        <v>34</v>
      </c>
      <c r="H91" s="559">
        <f>102041</f>
        <v>102041</v>
      </c>
      <c r="I91" s="551"/>
      <c r="J91" s="201">
        <f t="shared" si="18"/>
        <v>0</v>
      </c>
      <c r="K91" s="198"/>
      <c r="L91" s="84"/>
      <c r="M91" s="158"/>
      <c r="N91" s="72"/>
      <c r="O91" s="72"/>
      <c r="P91" s="72"/>
      <c r="Q91" s="72"/>
      <c r="R91" s="72"/>
      <c r="S91" s="72">
        <f t="shared" si="24"/>
        <v>102041</v>
      </c>
      <c r="T91" s="72"/>
      <c r="U91" s="72"/>
      <c r="V91" s="72"/>
      <c r="W91" s="72"/>
      <c r="X91" s="72"/>
      <c r="Y91" s="72"/>
    </row>
    <row r="92" spans="1:25" ht="18" customHeight="1" x14ac:dyDescent="0.3">
      <c r="A92" s="557">
        <v>21</v>
      </c>
      <c r="B92" s="540" t="s">
        <v>210</v>
      </c>
      <c r="C92" s="281"/>
      <c r="D92" s="281"/>
      <c r="E92" s="281"/>
      <c r="F92" s="334">
        <f>25146</f>
        <v>25146</v>
      </c>
      <c r="G92" s="558" t="s">
        <v>34</v>
      </c>
      <c r="H92" s="334">
        <f>25146</f>
        <v>25146</v>
      </c>
      <c r="I92" s="550"/>
      <c r="J92" s="201">
        <f t="shared" si="18"/>
        <v>0</v>
      </c>
      <c r="K92" s="198"/>
      <c r="L92" s="84"/>
      <c r="M92" s="158"/>
      <c r="N92" s="72"/>
      <c r="O92" s="72"/>
      <c r="P92" s="72"/>
      <c r="Q92" s="72"/>
      <c r="R92" s="72"/>
      <c r="S92" s="72">
        <f>F92</f>
        <v>25146</v>
      </c>
      <c r="T92" s="72"/>
      <c r="U92" s="72"/>
      <c r="V92" s="72"/>
      <c r="W92" s="72"/>
      <c r="X92" s="72"/>
      <c r="Y92" s="72"/>
    </row>
    <row r="93" spans="1:25" s="10" customFormat="1" ht="18" customHeight="1" x14ac:dyDescent="0.3">
      <c r="A93" s="526">
        <v>22</v>
      </c>
      <c r="B93" s="540" t="s">
        <v>211</v>
      </c>
      <c r="C93" s="275"/>
      <c r="D93" s="541"/>
      <c r="E93" s="275"/>
      <c r="F93" s="334">
        <f>1956000+1956000+1956000</f>
        <v>5868000</v>
      </c>
      <c r="G93" s="334" t="s">
        <v>34</v>
      </c>
      <c r="H93" s="334">
        <f>1956000+1956000+1956000</f>
        <v>5868000</v>
      </c>
      <c r="I93" s="528"/>
      <c r="J93" s="201">
        <f t="shared" si="18"/>
        <v>0</v>
      </c>
      <c r="K93" s="198"/>
      <c r="L93" s="202"/>
      <c r="M93" s="72"/>
      <c r="N93" s="72"/>
      <c r="O93" s="72"/>
      <c r="P93" s="72"/>
      <c r="Q93" s="72"/>
      <c r="R93" s="72">
        <f>F93</f>
        <v>5868000</v>
      </c>
      <c r="S93" s="72"/>
      <c r="T93" s="72"/>
      <c r="U93" s="72"/>
      <c r="V93" s="72"/>
      <c r="W93" s="72"/>
      <c r="X93" s="72"/>
      <c r="Y93" s="72"/>
    </row>
    <row r="94" spans="1:25" ht="15.6" thickBot="1" x14ac:dyDescent="0.35">
      <c r="A94" s="552"/>
      <c r="B94" s="553"/>
      <c r="C94" s="553"/>
      <c r="D94" s="553"/>
      <c r="E94" s="552"/>
      <c r="F94" s="552"/>
      <c r="G94" s="552"/>
      <c r="H94" s="560"/>
      <c r="I94" s="560"/>
      <c r="J94" s="201">
        <f t="shared" si="18"/>
        <v>0</v>
      </c>
      <c r="M94" s="304"/>
      <c r="N94" s="72"/>
      <c r="O94" s="72"/>
      <c r="P94" s="72"/>
      <c r="Q94" s="72"/>
      <c r="R94" s="72"/>
      <c r="S94" s="72"/>
      <c r="T94" s="72"/>
      <c r="U94" s="72"/>
      <c r="V94" s="72"/>
      <c r="W94" s="72"/>
      <c r="X94" s="72"/>
      <c r="Y94" s="72"/>
    </row>
    <row r="95" spans="1:25" s="266" customFormat="1" ht="26.1" customHeight="1" thickBot="1" x14ac:dyDescent="0.35">
      <c r="A95" s="554"/>
      <c r="B95" s="555"/>
      <c r="C95" s="555"/>
      <c r="D95" s="555"/>
      <c r="E95" s="556"/>
      <c r="F95" s="561">
        <f>SUM(F3:F93)</f>
        <v>641838868.73000002</v>
      </c>
      <c r="G95" s="562">
        <f>F95-H95-I95</f>
        <v>0</v>
      </c>
      <c r="H95" s="563">
        <f>SUM(H3:H93)</f>
        <v>500562738.05000001</v>
      </c>
      <c r="I95" s="563">
        <f>SUM(I3:I93)</f>
        <v>141276130.68000004</v>
      </c>
      <c r="J95" s="201">
        <f t="shared" ref="J95" si="25">F95-H95-I95</f>
        <v>0</v>
      </c>
      <c r="K95" s="269"/>
      <c r="L95" s="268"/>
      <c r="M95" s="349">
        <f t="shared" ref="M95:Y95" si="26">SUM(M3:M94)</f>
        <v>124594960.05000001</v>
      </c>
      <c r="N95" s="323">
        <f t="shared" si="26"/>
        <v>0</v>
      </c>
      <c r="O95" s="323">
        <f t="shared" si="26"/>
        <v>38565589</v>
      </c>
      <c r="P95" s="323">
        <f t="shared" si="26"/>
        <v>5334952</v>
      </c>
      <c r="Q95" s="323">
        <f t="shared" si="26"/>
        <v>0</v>
      </c>
      <c r="R95" s="323">
        <f t="shared" si="26"/>
        <v>50543968</v>
      </c>
      <c r="S95" s="323">
        <f t="shared" si="26"/>
        <v>20230045</v>
      </c>
      <c r="T95" s="323">
        <f t="shared" si="26"/>
        <v>4779000</v>
      </c>
      <c r="U95" s="323">
        <f t="shared" si="26"/>
        <v>4701346</v>
      </c>
      <c r="V95" s="323">
        <f t="shared" si="26"/>
        <v>500000</v>
      </c>
      <c r="W95" s="323">
        <f t="shared" si="26"/>
        <v>0</v>
      </c>
      <c r="X95" s="323">
        <f t="shared" si="26"/>
        <v>0</v>
      </c>
      <c r="Y95" s="323">
        <f t="shared" si="26"/>
        <v>349600000</v>
      </c>
    </row>
    <row r="97" spans="1:15" ht="21" x14ac:dyDescent="0.3">
      <c r="A97" s="342"/>
      <c r="B97" s="595" t="s">
        <v>212</v>
      </c>
      <c r="C97" s="595"/>
      <c r="D97" s="595"/>
      <c r="E97" s="595"/>
      <c r="F97" s="595"/>
      <c r="G97" s="595"/>
      <c r="H97" s="595"/>
      <c r="I97" s="521"/>
      <c r="J97" s="521"/>
      <c r="K97" s="363"/>
      <c r="L97" s="364"/>
      <c r="M97" s="364"/>
      <c r="N97" s="365"/>
    </row>
    <row r="98" spans="1:15" ht="42" x14ac:dyDescent="0.3">
      <c r="A98" s="342" t="s">
        <v>213</v>
      </c>
      <c r="B98" s="343" t="s">
        <v>214</v>
      </c>
      <c r="C98" s="343" t="s">
        <v>215</v>
      </c>
      <c r="D98" s="343" t="s">
        <v>216</v>
      </c>
      <c r="E98" s="343" t="s">
        <v>217</v>
      </c>
      <c r="F98" s="343" t="s">
        <v>218</v>
      </c>
      <c r="G98" s="343" t="s">
        <v>219</v>
      </c>
      <c r="H98" s="343" t="s">
        <v>220</v>
      </c>
      <c r="I98" s="522"/>
      <c r="J98" s="522"/>
      <c r="K98" s="596" t="s">
        <v>221</v>
      </c>
      <c r="L98" s="597"/>
      <c r="M98" s="597"/>
      <c r="N98" s="598"/>
    </row>
    <row r="99" spans="1:15" ht="21" x14ac:dyDescent="0.3">
      <c r="A99" s="344">
        <v>1</v>
      </c>
      <c r="B99" s="344">
        <v>2</v>
      </c>
      <c r="C99" s="344">
        <v>3</v>
      </c>
      <c r="D99" s="344">
        <v>4</v>
      </c>
      <c r="E99" s="370">
        <v>5</v>
      </c>
      <c r="F99" s="370">
        <v>6</v>
      </c>
      <c r="G99" s="370">
        <v>7</v>
      </c>
      <c r="H99" s="359">
        <v>8</v>
      </c>
      <c r="I99" s="359"/>
      <c r="J99" s="359"/>
      <c r="K99" s="439" t="s">
        <v>222</v>
      </c>
      <c r="L99" s="440"/>
      <c r="M99" s="440" t="s">
        <v>223</v>
      </c>
      <c r="N99" s="440" t="s">
        <v>224</v>
      </c>
    </row>
    <row r="100" spans="1:15" ht="21" x14ac:dyDescent="0.3">
      <c r="A100" s="343">
        <v>1</v>
      </c>
      <c r="B100" s="595" t="s">
        <v>225</v>
      </c>
      <c r="C100" s="593" t="s">
        <v>226</v>
      </c>
      <c r="D100" s="593"/>
      <c r="E100" s="371"/>
      <c r="F100" s="371"/>
      <c r="G100" s="371"/>
      <c r="H100" s="360">
        <f t="shared" ref="H100:H113" si="27">SUM(E100:G100)</f>
        <v>0</v>
      </c>
      <c r="I100" s="360"/>
      <c r="J100" s="360"/>
      <c r="K100" s="379"/>
      <c r="L100" s="380"/>
      <c r="M100" s="380"/>
      <c r="N100" s="380"/>
    </row>
    <row r="101" spans="1:15" ht="21" x14ac:dyDescent="0.3">
      <c r="A101" s="343">
        <v>2</v>
      </c>
      <c r="B101" s="595"/>
      <c r="C101" s="593" t="s">
        <v>227</v>
      </c>
      <c r="D101" s="593"/>
      <c r="E101" s="371"/>
      <c r="F101" s="371"/>
      <c r="G101" s="372">
        <f>Q95</f>
        <v>0</v>
      </c>
      <c r="H101" s="360">
        <f t="shared" si="27"/>
        <v>0</v>
      </c>
      <c r="I101" s="360"/>
      <c r="J101" s="360"/>
      <c r="K101" s="379"/>
      <c r="L101" s="380"/>
      <c r="M101" s="380"/>
      <c r="N101" s="380"/>
      <c r="O101" s="5" t="s">
        <v>228</v>
      </c>
    </row>
    <row r="102" spans="1:15" ht="21" x14ac:dyDescent="0.3">
      <c r="A102" s="343">
        <v>3</v>
      </c>
      <c r="B102" s="595"/>
      <c r="C102" s="593" t="s">
        <v>229</v>
      </c>
      <c r="D102" s="593"/>
      <c r="E102" s="372">
        <f>M95</f>
        <v>124594960.05000001</v>
      </c>
      <c r="F102" s="372">
        <f>O95</f>
        <v>38565589</v>
      </c>
      <c r="G102" s="372">
        <f>R95</f>
        <v>50543968</v>
      </c>
      <c r="H102" s="361">
        <f>SUM(E102:G102)</f>
        <v>213704517.05000001</v>
      </c>
      <c r="I102" s="361"/>
      <c r="J102" s="361"/>
      <c r="K102" s="381">
        <f>(' DEMAND'!D7*1000)-'Funds for BILLS '!E102</f>
        <v>25405039.949999988</v>
      </c>
      <c r="L102" s="381"/>
      <c r="M102" s="381">
        <f>(' DEMAND'!F7*1000)-'Funds for BILLS '!F102</f>
        <v>11434411</v>
      </c>
      <c r="N102" s="381">
        <f>(' DEMAND'!H7*1000)-'Funds for BILLS '!G102</f>
        <v>-543968</v>
      </c>
      <c r="O102" s="5">
        <v>3425688</v>
      </c>
    </row>
    <row r="103" spans="1:15" ht="21" x14ac:dyDescent="0.3">
      <c r="A103" s="343">
        <v>4</v>
      </c>
      <c r="B103" s="595"/>
      <c r="C103" s="593" t="s">
        <v>230</v>
      </c>
      <c r="D103" s="593"/>
      <c r="E103" s="373"/>
      <c r="F103" s="371"/>
      <c r="G103" s="371"/>
      <c r="H103" s="360">
        <f t="shared" si="27"/>
        <v>0</v>
      </c>
      <c r="I103" s="360"/>
      <c r="J103" s="360"/>
      <c r="K103" s="381"/>
      <c r="L103" s="381"/>
      <c r="M103" s="381"/>
      <c r="N103" s="381"/>
      <c r="O103" s="396">
        <f>H71</f>
        <v>39618000</v>
      </c>
    </row>
    <row r="104" spans="1:15" ht="21" x14ac:dyDescent="0.3">
      <c r="A104" s="343">
        <v>5</v>
      </c>
      <c r="B104" s="595"/>
      <c r="C104" s="593" t="s">
        <v>231</v>
      </c>
      <c r="D104" s="593"/>
      <c r="E104" s="371"/>
      <c r="F104" s="371"/>
      <c r="G104" s="372">
        <f>S95</f>
        <v>20230045</v>
      </c>
      <c r="H104" s="360">
        <f t="shared" si="27"/>
        <v>20230045</v>
      </c>
      <c r="I104" s="360"/>
      <c r="J104" s="360"/>
      <c r="K104" s="381"/>
      <c r="L104" s="381"/>
      <c r="M104" s="381"/>
      <c r="N104" s="381">
        <f>(' DEMAND'!H9*1000)-'Funds for BILLS '!G104</f>
        <v>54769955</v>
      </c>
      <c r="O104" s="396">
        <f>50000000-O102-O103</f>
        <v>6956312</v>
      </c>
    </row>
    <row r="105" spans="1:15" ht="21" x14ac:dyDescent="0.3">
      <c r="A105" s="343">
        <v>6</v>
      </c>
      <c r="B105" s="595"/>
      <c r="C105" s="593" t="s">
        <v>232</v>
      </c>
      <c r="D105" s="593"/>
      <c r="E105" s="371"/>
      <c r="F105" s="371"/>
      <c r="G105" s="372">
        <f>T95</f>
        <v>4779000</v>
      </c>
      <c r="H105" s="360">
        <f t="shared" si="27"/>
        <v>4779000</v>
      </c>
      <c r="I105" s="360"/>
      <c r="J105" s="360"/>
      <c r="K105" s="381"/>
      <c r="L105" s="381"/>
      <c r="M105" s="381"/>
      <c r="N105" s="381">
        <f>(' DEMAND'!H10*1000)-'Funds for BILLS '!G105</f>
        <v>221000</v>
      </c>
    </row>
    <row r="106" spans="1:15" ht="21" x14ac:dyDescent="0.3">
      <c r="A106" s="343">
        <v>7</v>
      </c>
      <c r="B106" s="595"/>
      <c r="C106" s="593" t="s">
        <v>233</v>
      </c>
      <c r="D106" s="593"/>
      <c r="E106" s="371"/>
      <c r="F106" s="371"/>
      <c r="G106" s="371"/>
      <c r="H106" s="360">
        <f t="shared" si="27"/>
        <v>0</v>
      </c>
      <c r="I106" s="360"/>
      <c r="J106" s="360"/>
      <c r="K106" s="381"/>
      <c r="L106" s="381"/>
      <c r="M106" s="381"/>
      <c r="N106" s="381">
        <f>(' DEMAND'!H11*1000)-'Funds for BILLS '!G106</f>
        <v>0</v>
      </c>
    </row>
    <row r="107" spans="1:15" ht="21" x14ac:dyDescent="0.3">
      <c r="A107" s="343">
        <v>8</v>
      </c>
      <c r="B107" s="595"/>
      <c r="C107" s="593" t="s">
        <v>234</v>
      </c>
      <c r="D107" s="593"/>
      <c r="E107" s="371"/>
      <c r="F107" s="371"/>
      <c r="G107" s="372">
        <f>U95</f>
        <v>4701346</v>
      </c>
      <c r="H107" s="360">
        <f t="shared" si="27"/>
        <v>4701346</v>
      </c>
      <c r="I107" s="360"/>
      <c r="J107" s="360"/>
      <c r="K107" s="381"/>
      <c r="L107" s="381"/>
      <c r="M107" s="381"/>
      <c r="N107" s="381">
        <f>(' DEMAND'!H12*1000)-'Funds for BILLS '!G107</f>
        <v>145298654</v>
      </c>
    </row>
    <row r="108" spans="1:15" ht="21" x14ac:dyDescent="0.3">
      <c r="A108" s="343">
        <v>9</v>
      </c>
      <c r="B108" s="595"/>
      <c r="C108" s="593" t="s">
        <v>235</v>
      </c>
      <c r="D108" s="593"/>
      <c r="E108" s="371"/>
      <c r="F108" s="371"/>
      <c r="G108" s="371"/>
      <c r="H108" s="360">
        <f t="shared" si="27"/>
        <v>0</v>
      </c>
      <c r="I108" s="360"/>
      <c r="J108" s="360"/>
      <c r="K108" s="381"/>
      <c r="L108" s="381"/>
      <c r="M108" s="381"/>
      <c r="N108" s="381"/>
    </row>
    <row r="109" spans="1:15" ht="21" x14ac:dyDescent="0.3">
      <c r="A109" s="343">
        <v>10</v>
      </c>
      <c r="B109" s="595"/>
      <c r="C109" s="593" t="s">
        <v>236</v>
      </c>
      <c r="D109" s="593"/>
      <c r="E109" s="371"/>
      <c r="F109" s="371"/>
      <c r="G109" s="371"/>
      <c r="H109" s="360">
        <f t="shared" si="27"/>
        <v>0</v>
      </c>
      <c r="I109" s="360"/>
      <c r="J109" s="360"/>
      <c r="K109" s="381"/>
      <c r="L109" s="381"/>
      <c r="M109" s="381"/>
      <c r="N109" s="381"/>
    </row>
    <row r="110" spans="1:15" ht="21" x14ac:dyDescent="0.3">
      <c r="A110" s="343">
        <v>11</v>
      </c>
      <c r="B110" s="595"/>
      <c r="C110" s="593" t="s">
        <v>237</v>
      </c>
      <c r="D110" s="593"/>
      <c r="E110" s="372">
        <f>N95</f>
        <v>0</v>
      </c>
      <c r="F110" s="372">
        <f>P95</f>
        <v>5334952</v>
      </c>
      <c r="G110" s="372">
        <f>V95</f>
        <v>500000</v>
      </c>
      <c r="H110" s="360">
        <f t="shared" si="27"/>
        <v>5834952</v>
      </c>
      <c r="I110" s="360"/>
      <c r="J110" s="360"/>
      <c r="K110" s="381"/>
      <c r="L110" s="381"/>
      <c r="M110" s="381"/>
      <c r="N110" s="381">
        <f>(' DEMAND'!H15*1000)-'Funds for BILLS '!G110</f>
        <v>14500000</v>
      </c>
    </row>
    <row r="111" spans="1:15" ht="21" x14ac:dyDescent="0.3">
      <c r="A111" s="343"/>
      <c r="B111" s="595"/>
      <c r="C111" s="593" t="s">
        <v>238</v>
      </c>
      <c r="D111" s="593"/>
      <c r="E111" s="371"/>
      <c r="F111" s="371"/>
      <c r="G111" s="372">
        <f>W95</f>
        <v>0</v>
      </c>
      <c r="H111" s="360">
        <f t="shared" si="27"/>
        <v>0</v>
      </c>
      <c r="I111" s="360"/>
      <c r="J111" s="360"/>
      <c r="K111" s="381"/>
      <c r="L111" s="381"/>
      <c r="M111" s="381"/>
      <c r="N111" s="381">
        <f>(' DEMAND'!H16*1000)-'Funds for BILLS '!G111</f>
        <v>20000000</v>
      </c>
    </row>
    <row r="112" spans="1:15" ht="21" x14ac:dyDescent="0.3">
      <c r="A112" s="343">
        <v>12</v>
      </c>
      <c r="B112" s="595"/>
      <c r="C112" s="593" t="s">
        <v>239</v>
      </c>
      <c r="D112" s="593"/>
      <c r="E112" s="371"/>
      <c r="F112" s="371"/>
      <c r="G112" s="372">
        <f>X95</f>
        <v>0</v>
      </c>
      <c r="H112" s="360">
        <f t="shared" si="27"/>
        <v>0</v>
      </c>
      <c r="I112" s="360"/>
      <c r="J112" s="360"/>
      <c r="K112" s="381"/>
      <c r="L112" s="381"/>
      <c r="M112" s="381"/>
      <c r="N112" s="381">
        <f>(' DEMAND'!H17*1000)-'Funds for BILLS '!G112</f>
        <v>0</v>
      </c>
    </row>
    <row r="113" spans="1:14" ht="42" customHeight="1" x14ac:dyDescent="0.3">
      <c r="A113" s="343">
        <v>13</v>
      </c>
      <c r="B113" s="595"/>
      <c r="C113" s="593" t="s">
        <v>240</v>
      </c>
      <c r="D113" s="593"/>
      <c r="E113" s="374"/>
      <c r="F113" s="371"/>
      <c r="G113" s="372">
        <f>Y95</f>
        <v>349600000</v>
      </c>
      <c r="H113" s="360">
        <f t="shared" si="27"/>
        <v>349600000</v>
      </c>
      <c r="I113" s="360"/>
      <c r="J113" s="360"/>
      <c r="K113" s="381"/>
      <c r="L113" s="381"/>
      <c r="M113" s="381"/>
      <c r="N113" s="381">
        <f>(' DEMAND'!H18*1000)-'Funds for BILLS '!G113</f>
        <v>400000</v>
      </c>
    </row>
    <row r="114" spans="1:14" ht="21" x14ac:dyDescent="0.3">
      <c r="A114" s="343"/>
      <c r="B114" s="343"/>
      <c r="C114" s="591" t="s">
        <v>220</v>
      </c>
      <c r="D114" s="592"/>
      <c r="E114" s="375">
        <f>SUM(E100:E113)</f>
        <v>124594960.05000001</v>
      </c>
      <c r="F114" s="375">
        <f t="shared" ref="F114:H114" si="28">SUM(F100:F113)</f>
        <v>43900541</v>
      </c>
      <c r="G114" s="376">
        <f t="shared" si="28"/>
        <v>430354359</v>
      </c>
      <c r="H114" s="362">
        <f t="shared" si="28"/>
        <v>598849860.04999995</v>
      </c>
      <c r="I114" s="362"/>
      <c r="J114" s="362"/>
      <c r="K114" s="379"/>
      <c r="L114" s="380"/>
      <c r="M114" s="380"/>
      <c r="N114" s="380"/>
    </row>
    <row r="115" spans="1:14" x14ac:dyDescent="0.3">
      <c r="H115" s="414" t="s">
        <v>241</v>
      </c>
      <c r="I115" s="414"/>
      <c r="J115" s="414"/>
      <c r="K115" s="396">
        <f>N102+M102+K102</f>
        <v>36295482.949999988</v>
      </c>
      <c r="M115" s="414" t="s">
        <v>242</v>
      </c>
      <c r="N115" s="396">
        <f>SUM(N104:N114)</f>
        <v>235189609</v>
      </c>
    </row>
    <row r="117" spans="1:14" x14ac:dyDescent="0.3">
      <c r="A117" s="85"/>
      <c r="B117" s="84" t="s">
        <v>243</v>
      </c>
      <c r="C117" s="84" t="s">
        <v>244</v>
      </c>
      <c r="D117" s="84" t="s">
        <v>245</v>
      </c>
      <c r="E117" s="85" t="s">
        <v>246</v>
      </c>
      <c r="F117" s="85">
        <v>481591</v>
      </c>
      <c r="G117" s="85" t="s">
        <v>247</v>
      </c>
      <c r="H117" s="85"/>
      <c r="I117" s="85"/>
      <c r="J117" s="85"/>
      <c r="K117" s="85"/>
      <c r="L117" s="84"/>
      <c r="M117" s="84"/>
      <c r="N117" s="84"/>
    </row>
    <row r="118" spans="1:14" x14ac:dyDescent="0.3">
      <c r="A118" s="85"/>
      <c r="B118" s="84"/>
      <c r="C118" s="84" t="s">
        <v>244</v>
      </c>
      <c r="D118" s="84" t="s">
        <v>245</v>
      </c>
      <c r="E118" s="85" t="s">
        <v>248</v>
      </c>
      <c r="F118" s="85">
        <v>240796</v>
      </c>
      <c r="G118" s="85" t="s">
        <v>247</v>
      </c>
      <c r="H118" s="85"/>
      <c r="I118" s="85"/>
      <c r="J118" s="85"/>
      <c r="K118" s="85"/>
      <c r="L118" s="84"/>
      <c r="M118" s="84"/>
      <c r="N118" s="84"/>
    </row>
    <row r="119" spans="1:14" x14ac:dyDescent="0.3">
      <c r="A119" s="85"/>
      <c r="B119" s="84"/>
      <c r="C119" s="84"/>
      <c r="D119" s="84"/>
      <c r="E119" s="85"/>
      <c r="F119" s="85"/>
      <c r="G119" s="85"/>
      <c r="H119" s="85"/>
      <c r="I119" s="85"/>
      <c r="J119" s="85"/>
      <c r="K119" s="85"/>
      <c r="L119" s="84"/>
      <c r="M119" s="84"/>
      <c r="N119" s="84"/>
    </row>
    <row r="120" spans="1:14" x14ac:dyDescent="0.3">
      <c r="A120" s="85"/>
      <c r="B120" s="84"/>
      <c r="C120" s="84"/>
      <c r="D120" s="84"/>
      <c r="E120" s="85"/>
      <c r="F120" s="85"/>
      <c r="G120" s="85"/>
      <c r="H120" s="85"/>
      <c r="I120" s="85"/>
      <c r="J120" s="85"/>
      <c r="K120" s="85"/>
      <c r="L120" s="84"/>
      <c r="M120" s="84"/>
      <c r="N120" s="84"/>
    </row>
    <row r="121" spans="1:14" x14ac:dyDescent="0.3">
      <c r="A121" s="85"/>
      <c r="B121" s="84"/>
      <c r="C121" s="84"/>
      <c r="D121" s="84"/>
      <c r="E121" s="85"/>
      <c r="F121" s="85"/>
      <c r="G121" s="85"/>
      <c r="H121" s="85"/>
      <c r="I121" s="85"/>
      <c r="J121" s="85"/>
      <c r="K121" s="85"/>
      <c r="L121" s="84"/>
      <c r="M121" s="84"/>
      <c r="N121" s="84"/>
    </row>
    <row r="122" spans="1:14" x14ac:dyDescent="0.3">
      <c r="A122" s="85"/>
      <c r="B122" s="84"/>
      <c r="C122" s="84"/>
      <c r="D122" s="84"/>
      <c r="E122" s="85"/>
      <c r="F122" s="85"/>
      <c r="G122" s="85"/>
      <c r="H122" s="85"/>
      <c r="I122" s="85"/>
      <c r="J122" s="85"/>
      <c r="K122" s="85"/>
      <c r="L122" s="84"/>
      <c r="M122" s="84"/>
      <c r="N122" s="84"/>
    </row>
  </sheetData>
  <mergeCells count="24">
    <mergeCell ref="Q1:Y1"/>
    <mergeCell ref="L5:L6"/>
    <mergeCell ref="C108:D108"/>
    <mergeCell ref="C110:D110"/>
    <mergeCell ref="A1:G1"/>
    <mergeCell ref="M1:N1"/>
    <mergeCell ref="C112:D112"/>
    <mergeCell ref="C113:D113"/>
    <mergeCell ref="O1:P1"/>
    <mergeCell ref="C114:D114"/>
    <mergeCell ref="C109:D109"/>
    <mergeCell ref="L64:L67"/>
    <mergeCell ref="B97:H97"/>
    <mergeCell ref="K98:N98"/>
    <mergeCell ref="B100:B113"/>
    <mergeCell ref="C100:D100"/>
    <mergeCell ref="C101:D101"/>
    <mergeCell ref="C102:D102"/>
    <mergeCell ref="C103:D103"/>
    <mergeCell ref="C104:D104"/>
    <mergeCell ref="C105:D105"/>
    <mergeCell ref="C106:D106"/>
    <mergeCell ref="C107:D107"/>
    <mergeCell ref="C111:D111"/>
  </mergeCells>
  <pageMargins left="0.23622047244094499" right="0.27559055118110198" top="0.511811023622047" bottom="0.31496062992126" header="0.31496062992126" footer="0.31496062992126"/>
  <pageSetup scale="68" fitToHeight="4" orientation="portrait" r:id="rId1"/>
  <rowBreaks count="3" manualBreakCount="3">
    <brk id="29" max="8" man="1"/>
    <brk id="72" max="8" man="1"/>
    <brk id="96" max="8" man="1"/>
  </rowBreaks>
  <colBreaks count="1" manualBreakCount="1">
    <brk id="14" max="117"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BD055-7598-4BFE-A92F-DB913F84298D}">
  <sheetPr>
    <tabColor theme="3" tint="0.499984740745262"/>
    <pageSetUpPr fitToPage="1"/>
  </sheetPr>
  <dimension ref="A1:L83"/>
  <sheetViews>
    <sheetView tabSelected="1" view="pageBreakPreview" zoomScale="83" zoomScaleNormal="60" zoomScaleSheetLayoutView="70" workbookViewId="0">
      <pane xSplit="2" ySplit="2" topLeftCell="C3" activePane="bottomRight" state="frozen"/>
      <selection pane="topRight" activeCell="C1" sqref="C1"/>
      <selection pane="bottomLeft" activeCell="A3" sqref="A3"/>
      <selection pane="bottomRight" activeCell="C21" sqref="C21"/>
    </sheetView>
  </sheetViews>
  <sheetFormatPr defaultColWidth="8.6640625" defaultRowHeight="15" x14ac:dyDescent="0.3"/>
  <cols>
    <col min="1" max="1" width="5.5546875" style="4" customWidth="1"/>
    <col min="2" max="2" width="15.109375" style="5" customWidth="1"/>
    <col min="3" max="3" width="19" style="5" customWidth="1"/>
    <col min="4" max="4" width="14.109375" style="5" customWidth="1"/>
    <col min="5" max="5" width="34" style="4" customWidth="1"/>
    <col min="6" max="6" width="11.6640625" style="4" customWidth="1"/>
    <col min="7" max="7" width="25.88671875" style="4" customWidth="1"/>
    <col min="8" max="8" width="32.33203125" style="4" customWidth="1"/>
    <col min="9" max="9" width="16.88671875" style="4" customWidth="1"/>
    <col min="10" max="10" width="16" style="4" customWidth="1"/>
    <col min="11" max="11" width="110.88671875" style="5" hidden="1" customWidth="1"/>
    <col min="12" max="12" width="16.44140625" style="5" customWidth="1"/>
    <col min="13" max="16384" width="8.6640625" style="5"/>
  </cols>
  <sheetData>
    <row r="1" spans="1:12" ht="33" customHeight="1" x14ac:dyDescent="0.3">
      <c r="A1" s="604" t="s">
        <v>249</v>
      </c>
      <c r="B1" s="605"/>
      <c r="C1" s="605"/>
      <c r="D1" s="605"/>
      <c r="E1" s="605"/>
      <c r="F1" s="605"/>
      <c r="G1" s="606"/>
      <c r="H1" s="422"/>
      <c r="I1" s="265"/>
      <c r="J1" s="265"/>
      <c r="K1" s="265"/>
    </row>
    <row r="2" spans="1:12" s="10" customFormat="1" ht="48" customHeight="1" x14ac:dyDescent="0.3">
      <c r="A2" s="496" t="s">
        <v>4</v>
      </c>
      <c r="B2" s="497" t="s">
        <v>5</v>
      </c>
      <c r="C2" s="498" t="s">
        <v>6</v>
      </c>
      <c r="D2" s="498" t="s">
        <v>250</v>
      </c>
      <c r="E2" s="498" t="s">
        <v>8</v>
      </c>
      <c r="F2" s="498" t="s">
        <v>251</v>
      </c>
      <c r="G2" s="498" t="s">
        <v>252</v>
      </c>
      <c r="H2" s="498" t="s">
        <v>253</v>
      </c>
      <c r="I2" s="58" t="s">
        <v>254</v>
      </c>
      <c r="J2" s="58" t="s">
        <v>13</v>
      </c>
      <c r="K2" s="58" t="s">
        <v>14</v>
      </c>
    </row>
    <row r="3" spans="1:12" ht="74.25" customHeight="1" x14ac:dyDescent="0.3">
      <c r="A3" s="64">
        <v>1</v>
      </c>
      <c r="B3" s="64" t="s">
        <v>255</v>
      </c>
      <c r="C3" s="410" t="s">
        <v>42</v>
      </c>
      <c r="D3" s="410" t="s">
        <v>43</v>
      </c>
      <c r="E3" s="411">
        <v>46143</v>
      </c>
      <c r="F3" s="412">
        <v>5175888</v>
      </c>
      <c r="G3" s="479" t="s">
        <v>48</v>
      </c>
      <c r="H3" s="409" t="s">
        <v>256</v>
      </c>
      <c r="I3" s="201"/>
      <c r="J3" s="198"/>
      <c r="K3" s="236" t="s">
        <v>36</v>
      </c>
      <c r="L3" s="396" t="e">
        <f>#REF!-I3</f>
        <v>#REF!</v>
      </c>
    </row>
    <row r="4" spans="1:12" ht="66" customHeight="1" x14ac:dyDescent="0.3">
      <c r="A4" s="64"/>
      <c r="B4" s="63"/>
      <c r="C4" s="410" t="s">
        <v>45</v>
      </c>
      <c r="D4" s="410" t="s">
        <v>43</v>
      </c>
      <c r="E4" s="411">
        <v>46174</v>
      </c>
      <c r="F4" s="412">
        <v>5087025</v>
      </c>
      <c r="G4" s="479" t="s">
        <v>48</v>
      </c>
      <c r="H4" s="409" t="s">
        <v>256</v>
      </c>
      <c r="I4" s="201"/>
      <c r="J4" s="198"/>
      <c r="K4" s="236"/>
      <c r="L4" s="396"/>
    </row>
    <row r="5" spans="1:12" ht="74.25" customHeight="1" x14ac:dyDescent="0.3">
      <c r="A5" s="64"/>
      <c r="B5" s="63"/>
      <c r="C5" s="410" t="s">
        <v>46</v>
      </c>
      <c r="D5" s="480">
        <v>46247</v>
      </c>
      <c r="E5" s="411" t="s">
        <v>47</v>
      </c>
      <c r="F5" s="412">
        <v>3431999</v>
      </c>
      <c r="G5" s="479" t="s">
        <v>48</v>
      </c>
      <c r="H5" s="409" t="s">
        <v>257</v>
      </c>
      <c r="I5" s="201"/>
      <c r="J5" s="198"/>
      <c r="K5" s="236"/>
      <c r="L5" s="396"/>
    </row>
    <row r="6" spans="1:12" ht="74.25" customHeight="1" x14ac:dyDescent="0.3">
      <c r="A6" s="64"/>
      <c r="B6" s="63"/>
      <c r="C6" s="410" t="s">
        <v>49</v>
      </c>
      <c r="D6" s="480">
        <v>46248</v>
      </c>
      <c r="E6" s="411" t="s">
        <v>50</v>
      </c>
      <c r="F6" s="412">
        <v>4290000</v>
      </c>
      <c r="G6" s="479" t="s">
        <v>48</v>
      </c>
      <c r="H6" s="409" t="s">
        <v>258</v>
      </c>
      <c r="I6" s="201"/>
      <c r="J6" s="198"/>
      <c r="K6" s="236"/>
      <c r="L6" s="396"/>
    </row>
    <row r="7" spans="1:12" ht="74.25" customHeight="1" x14ac:dyDescent="0.3">
      <c r="A7" s="64"/>
      <c r="B7" s="63"/>
      <c r="C7" s="410" t="s">
        <v>51</v>
      </c>
      <c r="D7" s="480">
        <v>46252</v>
      </c>
      <c r="E7" s="411" t="s">
        <v>52</v>
      </c>
      <c r="F7" s="412">
        <v>10296000</v>
      </c>
      <c r="G7" s="479" t="s">
        <v>48</v>
      </c>
      <c r="H7" s="409" t="s">
        <v>259</v>
      </c>
      <c r="I7" s="201"/>
      <c r="J7" s="198"/>
      <c r="K7" s="236"/>
      <c r="L7" s="396"/>
    </row>
    <row r="8" spans="1:12" ht="51.75" customHeight="1" x14ac:dyDescent="0.3">
      <c r="A8" s="64">
        <v>2</v>
      </c>
      <c r="B8" s="64" t="s">
        <v>53</v>
      </c>
      <c r="C8" s="487" t="s">
        <v>66</v>
      </c>
      <c r="D8" s="488">
        <v>46253</v>
      </c>
      <c r="E8" s="489">
        <v>46143</v>
      </c>
      <c r="F8" s="490">
        <v>2741492</v>
      </c>
      <c r="G8" s="491" t="s">
        <v>260</v>
      </c>
      <c r="H8" s="409" t="s">
        <v>256</v>
      </c>
      <c r="I8" s="314"/>
      <c r="J8" s="313"/>
      <c r="K8" s="62"/>
      <c r="L8" s="396">
        <f t="shared" ref="L8" si="0">F8-I8</f>
        <v>2741492</v>
      </c>
    </row>
    <row r="9" spans="1:12" ht="51.75" customHeight="1" x14ac:dyDescent="0.3">
      <c r="A9" s="64">
        <v>3</v>
      </c>
      <c r="B9" s="486" t="s">
        <v>71</v>
      </c>
      <c r="C9" s="483" t="s">
        <v>79</v>
      </c>
      <c r="D9" s="206" t="s">
        <v>80</v>
      </c>
      <c r="E9" s="206">
        <v>46082</v>
      </c>
      <c r="F9" s="207">
        <v>3537097</v>
      </c>
      <c r="G9" s="198" t="s">
        <v>261</v>
      </c>
      <c r="H9" s="409"/>
      <c r="I9" s="314"/>
      <c r="J9" s="313"/>
      <c r="K9" s="62"/>
      <c r="L9" s="396"/>
    </row>
    <row r="10" spans="1:12" ht="51.75" customHeight="1" x14ac:dyDescent="0.3">
      <c r="A10" s="84"/>
      <c r="B10" s="84"/>
      <c r="C10" s="483" t="s">
        <v>82</v>
      </c>
      <c r="D10" s="206" t="s">
        <v>83</v>
      </c>
      <c r="E10" s="484" t="s">
        <v>84</v>
      </c>
      <c r="F10" s="207">
        <v>5280000</v>
      </c>
      <c r="G10" s="198" t="s">
        <v>100</v>
      </c>
      <c r="H10" s="409" t="s">
        <v>256</v>
      </c>
      <c r="I10" s="314"/>
      <c r="J10" s="313"/>
      <c r="K10" s="62"/>
      <c r="L10" s="396"/>
    </row>
    <row r="11" spans="1:12" ht="83.25" customHeight="1" x14ac:dyDescent="0.3">
      <c r="A11" s="64"/>
      <c r="B11" s="62"/>
      <c r="C11" s="483" t="s">
        <v>86</v>
      </c>
      <c r="D11" s="206" t="s">
        <v>83</v>
      </c>
      <c r="E11" s="485" t="s">
        <v>262</v>
      </c>
      <c r="F11" s="207">
        <v>4224000</v>
      </c>
      <c r="G11" s="198" t="s">
        <v>100</v>
      </c>
      <c r="H11" s="409" t="s">
        <v>256</v>
      </c>
      <c r="I11" s="314"/>
      <c r="J11" s="313"/>
      <c r="K11" s="62"/>
      <c r="L11" s="396"/>
    </row>
    <row r="12" spans="1:12" ht="75.75" customHeight="1" x14ac:dyDescent="0.3">
      <c r="A12" s="64"/>
      <c r="B12" s="62"/>
      <c r="C12" s="483" t="s">
        <v>88</v>
      </c>
      <c r="D12" s="206" t="s">
        <v>83</v>
      </c>
      <c r="E12" s="485" t="s">
        <v>263</v>
      </c>
      <c r="F12" s="207">
        <v>4224000</v>
      </c>
      <c r="G12" s="198" t="s">
        <v>100</v>
      </c>
      <c r="H12" s="409" t="s">
        <v>256</v>
      </c>
      <c r="I12" s="314"/>
      <c r="J12" s="313"/>
      <c r="K12" s="62"/>
      <c r="L12" s="396"/>
    </row>
    <row r="13" spans="1:12" ht="82.5" customHeight="1" x14ac:dyDescent="0.3">
      <c r="A13" s="64"/>
      <c r="B13" s="62"/>
      <c r="C13" s="483" t="s">
        <v>90</v>
      </c>
      <c r="D13" s="206" t="s">
        <v>83</v>
      </c>
      <c r="E13" s="485" t="s">
        <v>264</v>
      </c>
      <c r="F13" s="207">
        <v>2112001</v>
      </c>
      <c r="G13" s="198" t="s">
        <v>100</v>
      </c>
      <c r="H13" s="409" t="s">
        <v>256</v>
      </c>
      <c r="I13" s="314"/>
      <c r="J13" s="313"/>
      <c r="K13" s="62"/>
      <c r="L13" s="396"/>
    </row>
    <row r="14" spans="1:12" ht="57" customHeight="1" x14ac:dyDescent="0.3">
      <c r="A14" s="64">
        <v>4</v>
      </c>
      <c r="B14" s="64" t="s">
        <v>265</v>
      </c>
      <c r="C14" s="492" t="s">
        <v>99</v>
      </c>
      <c r="D14" s="493">
        <v>46259</v>
      </c>
      <c r="E14" s="493">
        <v>46143</v>
      </c>
      <c r="F14" s="494">
        <v>2350861</v>
      </c>
      <c r="G14" s="495" t="s">
        <v>100</v>
      </c>
      <c r="H14" s="409" t="s">
        <v>256</v>
      </c>
      <c r="I14" s="314"/>
      <c r="J14" s="313"/>
      <c r="K14" s="62"/>
      <c r="L14" s="396"/>
    </row>
    <row r="15" spans="1:12" ht="54.75" customHeight="1" x14ac:dyDescent="0.3">
      <c r="A15" s="64"/>
      <c r="B15" s="62"/>
      <c r="C15" s="492" t="s">
        <v>101</v>
      </c>
      <c r="D15" s="493">
        <v>46259</v>
      </c>
      <c r="E15" s="493">
        <v>46174</v>
      </c>
      <c r="F15" s="494">
        <v>2583790</v>
      </c>
      <c r="G15" s="495" t="s">
        <v>100</v>
      </c>
      <c r="H15" s="409" t="s">
        <v>256</v>
      </c>
      <c r="I15" s="314"/>
      <c r="J15" s="313"/>
      <c r="K15" s="62"/>
      <c r="L15" s="396"/>
    </row>
    <row r="16" spans="1:12" ht="53.25" customHeight="1" x14ac:dyDescent="0.3">
      <c r="A16" s="64"/>
      <c r="B16" s="62"/>
      <c r="C16" s="492" t="s">
        <v>102</v>
      </c>
      <c r="D16" s="493">
        <v>46259</v>
      </c>
      <c r="E16" s="493" t="s">
        <v>266</v>
      </c>
      <c r="F16" s="494">
        <v>4774938</v>
      </c>
      <c r="G16" s="495" t="s">
        <v>100</v>
      </c>
      <c r="H16" s="409" t="s">
        <v>256</v>
      </c>
      <c r="I16" s="314"/>
      <c r="J16" s="313"/>
      <c r="K16" s="62"/>
      <c r="L16" s="396"/>
    </row>
    <row r="17" spans="1:12" s="11" customFormat="1" ht="51.75" customHeight="1" x14ac:dyDescent="0.3">
      <c r="A17" s="64">
        <v>5</v>
      </c>
      <c r="B17" s="64" t="s">
        <v>267</v>
      </c>
      <c r="C17" s="301" t="s">
        <v>126</v>
      </c>
      <c r="D17" s="223" t="s">
        <v>123</v>
      </c>
      <c r="E17" s="301" t="s">
        <v>127</v>
      </c>
      <c r="F17" s="224">
        <v>4595062</v>
      </c>
      <c r="G17" s="225" t="s">
        <v>268</v>
      </c>
      <c r="H17" s="409" t="s">
        <v>269</v>
      </c>
      <c r="I17" s="239"/>
      <c r="J17" s="225"/>
      <c r="K17" s="186"/>
      <c r="L17" s="396"/>
    </row>
    <row r="18" spans="1:12" s="11" customFormat="1" ht="68.25" customHeight="1" x14ac:dyDescent="0.3">
      <c r="A18" s="64"/>
      <c r="B18" s="62"/>
      <c r="C18" s="301" t="s">
        <v>129</v>
      </c>
      <c r="D18" s="223" t="s">
        <v>130</v>
      </c>
      <c r="E18" s="301" t="s">
        <v>131</v>
      </c>
      <c r="F18" s="224">
        <v>3676049</v>
      </c>
      <c r="G18" s="225" t="s">
        <v>270</v>
      </c>
      <c r="H18" s="409" t="s">
        <v>271</v>
      </c>
      <c r="I18" s="239"/>
      <c r="J18" s="225"/>
      <c r="K18" s="186"/>
      <c r="L18" s="396">
        <f>F17-I18</f>
        <v>4595062</v>
      </c>
    </row>
    <row r="19" spans="1:12" s="11" customFormat="1" ht="51.75" customHeight="1" x14ac:dyDescent="0.3">
      <c r="A19" s="64"/>
      <c r="B19" s="62"/>
      <c r="C19" s="301" t="s">
        <v>136</v>
      </c>
      <c r="D19" s="223" t="s">
        <v>137</v>
      </c>
      <c r="E19" s="223">
        <v>46174</v>
      </c>
      <c r="F19" s="224">
        <v>5743827</v>
      </c>
      <c r="G19" s="225" t="s">
        <v>138</v>
      </c>
      <c r="H19" s="409" t="s">
        <v>256</v>
      </c>
      <c r="I19" s="239"/>
      <c r="J19" s="225"/>
      <c r="K19" s="186"/>
      <c r="L19" s="396"/>
    </row>
    <row r="20" spans="1:12" s="11" customFormat="1" ht="51.75" customHeight="1" x14ac:dyDescent="0.3">
      <c r="A20" s="64"/>
      <c r="B20" s="62"/>
      <c r="C20" s="301" t="s">
        <v>139</v>
      </c>
      <c r="D20" s="223" t="s">
        <v>140</v>
      </c>
      <c r="E20" s="223">
        <v>46204</v>
      </c>
      <c r="F20" s="224">
        <v>5743827</v>
      </c>
      <c r="G20" s="225" t="s">
        <v>138</v>
      </c>
      <c r="H20" s="409" t="s">
        <v>256</v>
      </c>
      <c r="I20" s="239"/>
      <c r="J20" s="225"/>
      <c r="K20" s="186"/>
      <c r="L20" s="396">
        <f>F18-I20</f>
        <v>3676049</v>
      </c>
    </row>
    <row r="21" spans="1:12" s="10" customFormat="1" ht="51.75" customHeight="1" x14ac:dyDescent="0.3">
      <c r="A21" s="148">
        <v>6</v>
      </c>
      <c r="B21" s="64" t="s">
        <v>272</v>
      </c>
      <c r="C21" s="499" t="s">
        <v>149</v>
      </c>
      <c r="D21" s="499" t="s">
        <v>150</v>
      </c>
      <c r="E21" s="500">
        <v>46204</v>
      </c>
      <c r="F21" s="501">
        <v>1307888</v>
      </c>
      <c r="G21" s="502" t="s">
        <v>151</v>
      </c>
      <c r="H21" s="409"/>
      <c r="I21" s="397"/>
      <c r="J21" s="398"/>
      <c r="K21" s="237"/>
      <c r="L21" s="396">
        <f t="shared" ref="L21:L51" si="1">F21-I21</f>
        <v>1307888</v>
      </c>
    </row>
    <row r="22" spans="1:12" s="10" customFormat="1" ht="51.75" customHeight="1" x14ac:dyDescent="0.3">
      <c r="A22" s="148">
        <v>7</v>
      </c>
      <c r="B22" s="64" t="s">
        <v>273</v>
      </c>
      <c r="C22" s="503">
        <v>2681000049</v>
      </c>
      <c r="D22" s="503" t="s">
        <v>274</v>
      </c>
      <c r="E22" s="504">
        <v>46235</v>
      </c>
      <c r="F22" s="505">
        <v>2000000</v>
      </c>
      <c r="G22" s="506" t="s">
        <v>275</v>
      </c>
      <c r="H22" s="409"/>
      <c r="I22" s="397"/>
      <c r="J22" s="398"/>
      <c r="K22" s="237"/>
      <c r="L22" s="396"/>
    </row>
    <row r="23" spans="1:12" s="10" customFormat="1" ht="51.75" customHeight="1" x14ac:dyDescent="0.3">
      <c r="A23" s="507">
        <v>8</v>
      </c>
      <c r="B23" s="507" t="s">
        <v>276</v>
      </c>
      <c r="C23" s="508" t="s">
        <v>277</v>
      </c>
      <c r="D23" s="509" t="s">
        <v>278</v>
      </c>
      <c r="E23" s="411" t="s">
        <v>279</v>
      </c>
      <c r="F23" s="412">
        <v>1244900</v>
      </c>
      <c r="G23" s="510" t="s">
        <v>280</v>
      </c>
      <c r="H23" s="510" t="s">
        <v>281</v>
      </c>
      <c r="I23" s="397"/>
      <c r="J23" s="398"/>
      <c r="K23" s="237"/>
      <c r="L23" s="396"/>
    </row>
    <row r="24" spans="1:12" s="10" customFormat="1" ht="51.75" customHeight="1" x14ac:dyDescent="0.3">
      <c r="A24" s="148">
        <v>6</v>
      </c>
      <c r="B24" s="144" t="s">
        <v>156</v>
      </c>
      <c r="C24" s="404" t="s">
        <v>161</v>
      </c>
      <c r="D24" s="404" t="s">
        <v>162</v>
      </c>
      <c r="E24" s="405" t="s">
        <v>163</v>
      </c>
      <c r="F24" s="406">
        <v>624810</v>
      </c>
      <c r="G24" s="407" t="s">
        <v>282</v>
      </c>
      <c r="H24" s="409" t="s">
        <v>283</v>
      </c>
      <c r="I24" s="197"/>
      <c r="J24" s="198"/>
      <c r="K24" s="237"/>
      <c r="L24" s="396"/>
    </row>
    <row r="25" spans="1:12" s="10" customFormat="1" ht="51.75" customHeight="1" x14ac:dyDescent="0.3">
      <c r="A25" s="148"/>
      <c r="B25" s="399"/>
      <c r="C25" s="404" t="s">
        <v>164</v>
      </c>
      <c r="D25" s="404" t="s">
        <v>162</v>
      </c>
      <c r="E25" s="405" t="s">
        <v>165</v>
      </c>
      <c r="F25" s="406">
        <v>631300</v>
      </c>
      <c r="G25" s="407" t="s">
        <v>282</v>
      </c>
      <c r="H25" s="409" t="s">
        <v>283</v>
      </c>
      <c r="I25" s="384"/>
      <c r="J25" s="29"/>
      <c r="K25" s="21"/>
      <c r="L25" s="396">
        <f t="shared" si="1"/>
        <v>631300</v>
      </c>
    </row>
    <row r="26" spans="1:12" s="15" customFormat="1" ht="24.75" customHeight="1" x14ac:dyDescent="0.3">
      <c r="A26" s="148">
        <v>7</v>
      </c>
      <c r="B26" s="401" t="s">
        <v>167</v>
      </c>
      <c r="C26" s="23"/>
      <c r="D26" s="23"/>
      <c r="E26" s="324" t="s">
        <v>284</v>
      </c>
      <c r="F26" s="76"/>
      <c r="G26" s="33"/>
      <c r="H26" s="33"/>
      <c r="I26" s="76"/>
      <c r="J26" s="33"/>
      <c r="K26" s="23"/>
      <c r="L26" s="396">
        <f t="shared" si="1"/>
        <v>0</v>
      </c>
    </row>
    <row r="27" spans="1:12" s="10" customFormat="1" ht="25.5" customHeight="1" x14ac:dyDescent="0.3">
      <c r="A27" s="148"/>
      <c r="B27" s="401"/>
      <c r="C27" s="209" t="s">
        <v>168</v>
      </c>
      <c r="D27" s="210">
        <v>45937</v>
      </c>
      <c r="E27" s="287">
        <f>F27-I27</f>
        <v>962891.60000000009</v>
      </c>
      <c r="F27" s="211">
        <v>1925783.6</v>
      </c>
      <c r="G27" s="198"/>
      <c r="H27" s="198"/>
      <c r="I27" s="211">
        <v>962892</v>
      </c>
      <c r="J27" s="212" t="s">
        <v>116</v>
      </c>
      <c r="K27" s="594" t="s">
        <v>169</v>
      </c>
      <c r="L27" s="396">
        <f t="shared" si="1"/>
        <v>962891.60000000009</v>
      </c>
    </row>
    <row r="28" spans="1:12" s="10" customFormat="1" ht="25.5" customHeight="1" x14ac:dyDescent="0.3">
      <c r="A28" s="148"/>
      <c r="B28" s="401"/>
      <c r="C28" s="209" t="s">
        <v>170</v>
      </c>
      <c r="D28" s="210">
        <v>45937</v>
      </c>
      <c r="E28" s="287">
        <f t="shared" ref="E28:E30" si="2">F28-I28</f>
        <v>268714.36</v>
      </c>
      <c r="F28" s="211">
        <v>358285.36</v>
      </c>
      <c r="G28" s="198"/>
      <c r="H28" s="198"/>
      <c r="I28" s="211">
        <v>89571</v>
      </c>
      <c r="J28" s="212" t="s">
        <v>116</v>
      </c>
      <c r="K28" s="594"/>
      <c r="L28" s="396">
        <f t="shared" si="1"/>
        <v>268714.36</v>
      </c>
    </row>
    <row r="29" spans="1:12" s="10" customFormat="1" ht="25.5" customHeight="1" x14ac:dyDescent="0.3">
      <c r="A29" s="148"/>
      <c r="B29" s="401"/>
      <c r="C29" s="209" t="s">
        <v>171</v>
      </c>
      <c r="D29" s="210">
        <v>45937</v>
      </c>
      <c r="E29" s="287">
        <f t="shared" si="2"/>
        <v>268713.36</v>
      </c>
      <c r="F29" s="211">
        <v>358285.36</v>
      </c>
      <c r="G29" s="198"/>
      <c r="H29" s="198"/>
      <c r="I29" s="211">
        <v>89572</v>
      </c>
      <c r="J29" s="212" t="s">
        <v>116</v>
      </c>
      <c r="K29" s="594"/>
      <c r="L29" s="396">
        <f t="shared" si="1"/>
        <v>268713.36</v>
      </c>
    </row>
    <row r="30" spans="1:12" s="10" customFormat="1" ht="25.5" customHeight="1" x14ac:dyDescent="0.3">
      <c r="A30" s="148"/>
      <c r="B30" s="401"/>
      <c r="C30" s="209" t="s">
        <v>172</v>
      </c>
      <c r="D30" s="210">
        <v>45937</v>
      </c>
      <c r="E30" s="287">
        <f t="shared" si="2"/>
        <v>268713.36</v>
      </c>
      <c r="F30" s="211">
        <v>358285.36</v>
      </c>
      <c r="G30" s="198"/>
      <c r="H30" s="198"/>
      <c r="I30" s="211">
        <v>89572</v>
      </c>
      <c r="J30" s="212" t="s">
        <v>116</v>
      </c>
      <c r="K30" s="594"/>
      <c r="L30" s="396">
        <f t="shared" si="1"/>
        <v>268713.36</v>
      </c>
    </row>
    <row r="31" spans="1:12" s="10" customFormat="1" ht="25.5" customHeight="1" x14ac:dyDescent="0.3">
      <c r="A31" s="64"/>
      <c r="B31" s="27"/>
      <c r="C31" s="19"/>
      <c r="D31" s="25"/>
      <c r="E31" s="288">
        <f>SUM(E27:E30)</f>
        <v>1769032.6799999997</v>
      </c>
      <c r="F31" s="77">
        <f>SUM(F27:F30)</f>
        <v>3000639.6799999997</v>
      </c>
      <c r="G31" s="29"/>
      <c r="H31" s="29"/>
      <c r="I31" s="77"/>
      <c r="J31" s="31"/>
      <c r="K31" s="21"/>
      <c r="L31" s="396">
        <f t="shared" si="1"/>
        <v>3000639.6799999997</v>
      </c>
    </row>
    <row r="32" spans="1:12" s="10" customFormat="1" ht="21.6" hidden="1" customHeight="1" x14ac:dyDescent="0.3">
      <c r="A32" s="30"/>
      <c r="B32" s="27"/>
      <c r="C32" s="19"/>
      <c r="D32" s="25"/>
      <c r="E32" s="68"/>
      <c r="F32" s="77"/>
      <c r="G32" s="29"/>
      <c r="H32" s="29"/>
      <c r="I32" s="77"/>
      <c r="J32" s="31"/>
      <c r="K32" s="21"/>
      <c r="L32" s="396">
        <f t="shared" si="1"/>
        <v>0</v>
      </c>
    </row>
    <row r="33" spans="1:12" s="10" customFormat="1" ht="21.6" hidden="1" customHeight="1" x14ac:dyDescent="0.3">
      <c r="A33" s="30"/>
      <c r="B33" s="27"/>
      <c r="C33" s="19"/>
      <c r="D33" s="25"/>
      <c r="E33" s="68"/>
      <c r="F33" s="77"/>
      <c r="G33" s="29"/>
      <c r="H33" s="29"/>
      <c r="I33" s="77"/>
      <c r="J33" s="31"/>
      <c r="K33" s="21"/>
      <c r="L33" s="396">
        <f t="shared" si="1"/>
        <v>0</v>
      </c>
    </row>
    <row r="34" spans="1:12" s="10" customFormat="1" ht="21.6" hidden="1" customHeight="1" x14ac:dyDescent="0.3">
      <c r="A34" s="30"/>
      <c r="B34" s="27"/>
      <c r="C34" s="19"/>
      <c r="D34" s="25"/>
      <c r="E34" s="68"/>
      <c r="F34" s="77"/>
      <c r="G34" s="29"/>
      <c r="H34" s="29"/>
      <c r="I34" s="77"/>
      <c r="J34" s="31"/>
      <c r="K34" s="21"/>
      <c r="L34" s="396">
        <f t="shared" si="1"/>
        <v>0</v>
      </c>
    </row>
    <row r="35" spans="1:12" s="10" customFormat="1" ht="21.6" hidden="1" customHeight="1" x14ac:dyDescent="0.3">
      <c r="A35" s="30"/>
      <c r="B35" s="27"/>
      <c r="C35" s="19"/>
      <c r="D35" s="25"/>
      <c r="E35" s="68"/>
      <c r="F35" s="77"/>
      <c r="G35" s="29"/>
      <c r="H35" s="29"/>
      <c r="I35" s="77"/>
      <c r="J35" s="31"/>
      <c r="K35" s="21"/>
      <c r="L35" s="396">
        <f t="shared" si="1"/>
        <v>0</v>
      </c>
    </row>
    <row r="36" spans="1:12" s="10" customFormat="1" ht="21.6" hidden="1" customHeight="1" x14ac:dyDescent="0.3">
      <c r="A36" s="30"/>
      <c r="B36" s="27"/>
      <c r="C36" s="19"/>
      <c r="D36" s="25"/>
      <c r="E36" s="68"/>
      <c r="F36" s="77"/>
      <c r="G36" s="29"/>
      <c r="H36" s="29"/>
      <c r="I36" s="77"/>
      <c r="J36" s="31"/>
      <c r="K36" s="21"/>
      <c r="L36" s="396">
        <f t="shared" si="1"/>
        <v>0</v>
      </c>
    </row>
    <row r="37" spans="1:12" s="10" customFormat="1" ht="21.6" hidden="1" customHeight="1" x14ac:dyDescent="0.3">
      <c r="A37" s="30"/>
      <c r="B37" s="27"/>
      <c r="C37" s="19"/>
      <c r="D37" s="25"/>
      <c r="E37" s="68"/>
      <c r="F37" s="77"/>
      <c r="G37" s="29"/>
      <c r="H37" s="29"/>
      <c r="I37" s="77"/>
      <c r="J37" s="31"/>
      <c r="K37" s="21"/>
      <c r="L37" s="396">
        <f t="shared" si="1"/>
        <v>0</v>
      </c>
    </row>
    <row r="38" spans="1:12" s="10" customFormat="1" ht="21.6" hidden="1" customHeight="1" x14ac:dyDescent="0.3">
      <c r="A38" s="30"/>
      <c r="B38" s="27"/>
      <c r="C38" s="19"/>
      <c r="D38" s="25"/>
      <c r="E38" s="68"/>
      <c r="F38" s="77"/>
      <c r="G38" s="29"/>
      <c r="H38" s="29"/>
      <c r="I38" s="77"/>
      <c r="J38" s="31"/>
      <c r="K38" s="21"/>
      <c r="L38" s="396">
        <f t="shared" si="1"/>
        <v>0</v>
      </c>
    </row>
    <row r="39" spans="1:12" s="10" customFormat="1" ht="21.6" hidden="1" customHeight="1" x14ac:dyDescent="0.3">
      <c r="A39" s="30"/>
      <c r="B39" s="27"/>
      <c r="C39" s="19"/>
      <c r="D39" s="25"/>
      <c r="E39" s="68"/>
      <c r="F39" s="77"/>
      <c r="G39" s="29"/>
      <c r="H39" s="29"/>
      <c r="I39" s="77"/>
      <c r="J39" s="31"/>
      <c r="K39" s="21"/>
      <c r="L39" s="396">
        <f t="shared" si="1"/>
        <v>0</v>
      </c>
    </row>
    <row r="40" spans="1:12" s="10" customFormat="1" ht="21.6" hidden="1" customHeight="1" x14ac:dyDescent="0.3">
      <c r="A40" s="30"/>
      <c r="B40" s="27"/>
      <c r="C40" s="19"/>
      <c r="D40" s="25"/>
      <c r="E40" s="68"/>
      <c r="F40" s="77"/>
      <c r="G40" s="29"/>
      <c r="H40" s="29"/>
      <c r="I40" s="77"/>
      <c r="J40" s="31"/>
      <c r="K40" s="21"/>
      <c r="L40" s="396">
        <f t="shared" si="1"/>
        <v>0</v>
      </c>
    </row>
    <row r="41" spans="1:12" x14ac:dyDescent="0.3">
      <c r="L41" s="396">
        <f t="shared" si="1"/>
        <v>0</v>
      </c>
    </row>
    <row r="42" spans="1:12" ht="15.6" x14ac:dyDescent="0.3">
      <c r="A42" s="336"/>
      <c r="B42" s="337"/>
      <c r="C42" s="338" t="s">
        <v>285</v>
      </c>
      <c r="D42" s="337"/>
      <c r="E42" s="336"/>
      <c r="F42" s="388"/>
      <c r="G42" s="336"/>
      <c r="H42" s="336"/>
      <c r="I42" s="386">
        <f>SUM(I3:I41)</f>
        <v>1231607</v>
      </c>
      <c r="J42" s="336"/>
      <c r="K42" s="337"/>
      <c r="L42" s="396">
        <f t="shared" si="1"/>
        <v>-1231607</v>
      </c>
    </row>
    <row r="43" spans="1:12" ht="31.2" x14ac:dyDescent="0.3">
      <c r="A43" s="32"/>
      <c r="B43" s="23" t="s">
        <v>173</v>
      </c>
      <c r="C43" s="195" t="s">
        <v>174</v>
      </c>
      <c r="D43" s="202" t="s">
        <v>148</v>
      </c>
      <c r="E43" s="195"/>
      <c r="F43" s="197">
        <v>2086240</v>
      </c>
      <c r="G43" s="198" t="s">
        <v>286</v>
      </c>
      <c r="H43" s="198"/>
      <c r="I43" s="195"/>
      <c r="J43" s="195"/>
      <c r="L43" s="396">
        <f t="shared" si="1"/>
        <v>2086240</v>
      </c>
    </row>
    <row r="44" spans="1:12" s="10" customFormat="1" ht="21.6" customHeight="1" x14ac:dyDescent="0.3">
      <c r="A44" s="32">
        <v>10</v>
      </c>
      <c r="B44" s="23" t="s">
        <v>287</v>
      </c>
      <c r="C44" s="196" t="s">
        <v>20</v>
      </c>
      <c r="D44" s="202" t="s">
        <v>177</v>
      </c>
      <c r="E44" s="195"/>
      <c r="F44" s="197">
        <v>2500000</v>
      </c>
      <c r="G44" s="198" t="s">
        <v>288</v>
      </c>
      <c r="H44" s="198"/>
      <c r="I44" s="76"/>
      <c r="J44" s="33"/>
      <c r="K44" s="237"/>
      <c r="L44" s="396">
        <f t="shared" si="1"/>
        <v>2500000</v>
      </c>
    </row>
    <row r="45" spans="1:12" s="10" customFormat="1" ht="21.6" customHeight="1" x14ac:dyDescent="0.3">
      <c r="A45" s="64"/>
      <c r="B45" s="62"/>
      <c r="C45" s="195" t="s">
        <v>16</v>
      </c>
      <c r="D45" s="202" t="s">
        <v>177</v>
      </c>
      <c r="E45" s="195"/>
      <c r="F45" s="197">
        <v>500000</v>
      </c>
      <c r="G45" s="198" t="s">
        <v>288</v>
      </c>
      <c r="H45" s="198"/>
      <c r="I45" s="197"/>
      <c r="J45" s="195"/>
      <c r="K45" s="237"/>
      <c r="L45" s="396">
        <f t="shared" si="1"/>
        <v>500000</v>
      </c>
    </row>
    <row r="46" spans="1:12" s="10" customFormat="1" ht="21.6" customHeight="1" x14ac:dyDescent="0.3">
      <c r="A46" s="64"/>
      <c r="B46" s="63"/>
      <c r="C46" s="59"/>
      <c r="D46" s="62"/>
      <c r="E46" s="64"/>
      <c r="F46" s="73">
        <f>SUM(F44:F45)</f>
        <v>3000000</v>
      </c>
      <c r="G46" s="65"/>
      <c r="H46" s="65"/>
      <c r="I46" s="73"/>
      <c r="J46" s="65"/>
      <c r="K46" s="237"/>
      <c r="L46" s="396">
        <f t="shared" si="1"/>
        <v>3000000</v>
      </c>
    </row>
    <row r="47" spans="1:12" s="10" customFormat="1" ht="21.6" customHeight="1" x14ac:dyDescent="0.3">
      <c r="A47" s="607">
        <v>11</v>
      </c>
      <c r="B47" s="608" t="s">
        <v>289</v>
      </c>
      <c r="C47" s="195" t="s">
        <v>179</v>
      </c>
      <c r="D47" s="210">
        <v>45775</v>
      </c>
      <c r="E47" s="195"/>
      <c r="F47" s="197">
        <v>39618000</v>
      </c>
      <c r="G47" s="198" t="s">
        <v>290</v>
      </c>
      <c r="H47" s="198"/>
      <c r="I47" s="387">
        <f>F47</f>
        <v>39618000</v>
      </c>
      <c r="J47" s="212" t="s">
        <v>180</v>
      </c>
      <c r="K47" s="237"/>
      <c r="L47" s="396">
        <f t="shared" si="1"/>
        <v>0</v>
      </c>
    </row>
    <row r="48" spans="1:12" s="10" customFormat="1" ht="21" customHeight="1" x14ac:dyDescent="0.3">
      <c r="A48" s="607"/>
      <c r="B48" s="609"/>
      <c r="C48" s="195" t="s">
        <v>181</v>
      </c>
      <c r="D48" s="210">
        <v>46167</v>
      </c>
      <c r="E48" s="195"/>
      <c r="F48" s="197">
        <v>15166000</v>
      </c>
      <c r="G48" s="198" t="s">
        <v>290</v>
      </c>
      <c r="H48" s="198"/>
      <c r="I48" s="387">
        <f>F48</f>
        <v>15166000</v>
      </c>
      <c r="J48" s="212" t="s">
        <v>180</v>
      </c>
      <c r="K48" s="237"/>
      <c r="L48" s="396">
        <f t="shared" si="1"/>
        <v>0</v>
      </c>
    </row>
    <row r="49" spans="1:12" s="10" customFormat="1" ht="21.6" customHeight="1" x14ac:dyDescent="0.3">
      <c r="A49" s="64"/>
      <c r="B49" s="610"/>
      <c r="C49" s="195" t="s">
        <v>291</v>
      </c>
      <c r="D49" s="210"/>
      <c r="E49" s="195"/>
      <c r="F49" s="197">
        <f>350000-350000</f>
        <v>0</v>
      </c>
      <c r="G49" s="195"/>
      <c r="H49" s="195"/>
      <c r="I49" s="195"/>
      <c r="J49" s="195"/>
      <c r="K49" s="237"/>
      <c r="L49" s="396">
        <f t="shared" si="1"/>
        <v>0</v>
      </c>
    </row>
    <row r="50" spans="1:12" s="10" customFormat="1" ht="21.6" customHeight="1" x14ac:dyDescent="0.3">
      <c r="A50" s="64"/>
      <c r="B50" s="27"/>
      <c r="C50" s="195"/>
      <c r="D50" s="210"/>
      <c r="E50" s="195"/>
      <c r="F50" s="314">
        <f>SUM(F47:F49)</f>
        <v>54784000</v>
      </c>
      <c r="G50" s="195"/>
      <c r="H50" s="195"/>
      <c r="I50" s="195"/>
      <c r="J50" s="195"/>
      <c r="K50" s="237"/>
      <c r="L50" s="396">
        <f t="shared" si="1"/>
        <v>54784000</v>
      </c>
    </row>
    <row r="51" spans="1:12" s="10" customFormat="1" ht="21.6" customHeight="1" x14ac:dyDescent="0.3">
      <c r="A51" s="30"/>
      <c r="B51" s="249"/>
      <c r="C51" s="250"/>
      <c r="D51" s="251"/>
      <c r="E51" s="252"/>
      <c r="F51" s="253"/>
      <c r="G51" s="254"/>
      <c r="H51" s="254"/>
      <c r="I51" s="253"/>
      <c r="J51" s="255"/>
      <c r="K51" s="237"/>
      <c r="L51" s="396">
        <f t="shared" si="1"/>
        <v>0</v>
      </c>
    </row>
    <row r="52" spans="1:12" s="10" customFormat="1" ht="46.8" x14ac:dyDescent="0.3">
      <c r="A52" s="30">
        <v>8</v>
      </c>
      <c r="B52" s="27" t="s">
        <v>292</v>
      </c>
      <c r="C52" s="195">
        <v>878</v>
      </c>
      <c r="D52" s="230" t="s">
        <v>198</v>
      </c>
      <c r="E52" s="196"/>
      <c r="F52" s="197">
        <v>3562329</v>
      </c>
      <c r="G52" s="198" t="s">
        <v>293</v>
      </c>
      <c r="H52" s="198"/>
      <c r="I52" s="197"/>
      <c r="J52" s="198"/>
      <c r="K52" s="202" t="s">
        <v>200</v>
      </c>
      <c r="L52" s="396">
        <f t="shared" ref="L52:L65" si="3">F52-I52</f>
        <v>3562329</v>
      </c>
    </row>
    <row r="53" spans="1:12" s="10" customFormat="1" ht="24.9" customHeight="1" x14ac:dyDescent="0.3">
      <c r="A53" s="30"/>
      <c r="B53" s="27" t="s">
        <v>294</v>
      </c>
      <c r="C53" s="195" t="s">
        <v>295</v>
      </c>
      <c r="D53" s="195" t="s">
        <v>31</v>
      </c>
      <c r="E53" s="195"/>
      <c r="F53" s="201">
        <v>15000</v>
      </c>
      <c r="G53" s="195"/>
      <c r="H53" s="195"/>
      <c r="I53" s="195"/>
      <c r="J53" s="195"/>
      <c r="K53" s="21"/>
      <c r="L53" s="396">
        <f t="shared" si="3"/>
        <v>15000</v>
      </c>
    </row>
    <row r="54" spans="1:12" s="10" customFormat="1" ht="15.6" x14ac:dyDescent="0.3">
      <c r="A54" s="30"/>
      <c r="B54" s="27"/>
      <c r="C54" s="195"/>
      <c r="D54" s="195"/>
      <c r="E54" s="195"/>
      <c r="F54" s="201"/>
      <c r="G54" s="198"/>
      <c r="H54" s="198"/>
      <c r="I54" s="195"/>
      <c r="J54" s="195"/>
      <c r="K54" s="21"/>
      <c r="L54" s="396">
        <f t="shared" si="3"/>
        <v>0</v>
      </c>
    </row>
    <row r="55" spans="1:12" ht="15.6" x14ac:dyDescent="0.3">
      <c r="A55" s="85"/>
      <c r="B55" s="348" t="s">
        <v>296</v>
      </c>
      <c r="C55" s="198"/>
      <c r="D55" s="198"/>
      <c r="E55" s="198"/>
      <c r="F55" s="390">
        <f>955800+955800+955800</f>
        <v>2867400</v>
      </c>
      <c r="G55" s="198"/>
      <c r="H55" s="198"/>
      <c r="I55" s="198"/>
      <c r="J55" s="198"/>
      <c r="K55" s="84"/>
      <c r="L55" s="396">
        <f t="shared" si="3"/>
        <v>2867400</v>
      </c>
    </row>
    <row r="56" spans="1:12" ht="15.6" x14ac:dyDescent="0.3">
      <c r="A56" s="85"/>
      <c r="B56" s="348" t="s">
        <v>297</v>
      </c>
      <c r="C56" s="198"/>
      <c r="D56" s="198"/>
      <c r="E56" s="198"/>
      <c r="F56" s="390">
        <f>68833+68833</f>
        <v>137666</v>
      </c>
      <c r="G56" s="198"/>
      <c r="H56" s="198"/>
      <c r="I56" s="198"/>
      <c r="J56" s="198"/>
      <c r="K56" s="84"/>
      <c r="L56" s="396">
        <f t="shared" si="3"/>
        <v>137666</v>
      </c>
    </row>
    <row r="57" spans="1:12" ht="15.6" x14ac:dyDescent="0.3">
      <c r="A57" s="85"/>
      <c r="B57" s="348" t="s">
        <v>210</v>
      </c>
      <c r="C57" s="198"/>
      <c r="D57" s="198"/>
      <c r="E57" s="198"/>
      <c r="F57" s="390">
        <f>25146</f>
        <v>25146</v>
      </c>
      <c r="G57" s="198"/>
      <c r="H57" s="198"/>
      <c r="I57" s="198"/>
      <c r="J57" s="198"/>
      <c r="K57" s="84"/>
      <c r="L57" s="396">
        <f t="shared" si="3"/>
        <v>25146</v>
      </c>
    </row>
    <row r="58" spans="1:12" ht="15.6" x14ac:dyDescent="0.3">
      <c r="A58" s="85"/>
      <c r="B58" s="348"/>
      <c r="C58" s="198"/>
      <c r="D58" s="198"/>
      <c r="E58" s="198"/>
      <c r="F58" s="198"/>
      <c r="G58" s="198"/>
      <c r="H58" s="198"/>
      <c r="I58" s="198"/>
      <c r="J58" s="198"/>
      <c r="K58" s="84"/>
      <c r="L58" s="396">
        <f t="shared" si="3"/>
        <v>0</v>
      </c>
    </row>
    <row r="59" spans="1:12" ht="15.6" x14ac:dyDescent="0.3">
      <c r="A59" s="85"/>
      <c r="B59" s="348"/>
      <c r="C59" s="198"/>
      <c r="D59" s="198"/>
      <c r="E59" s="198"/>
      <c r="F59" s="198"/>
      <c r="G59" s="198"/>
      <c r="H59" s="198"/>
      <c r="I59" s="198"/>
      <c r="J59" s="198"/>
      <c r="K59" s="84"/>
      <c r="L59" s="396">
        <f t="shared" si="3"/>
        <v>0</v>
      </c>
    </row>
    <row r="60" spans="1:12" ht="15.6" x14ac:dyDescent="0.3">
      <c r="A60" s="85"/>
      <c r="B60" s="348"/>
      <c r="C60" s="195"/>
      <c r="D60" s="195"/>
      <c r="E60" s="195"/>
      <c r="F60" s="195"/>
      <c r="G60" s="195"/>
      <c r="H60" s="195"/>
      <c r="I60" s="195"/>
      <c r="J60" s="195"/>
      <c r="K60" s="84"/>
      <c r="L60" s="396">
        <f t="shared" si="3"/>
        <v>0</v>
      </c>
    </row>
    <row r="61" spans="1:12" s="10" customFormat="1" ht="37.5" customHeight="1" x14ac:dyDescent="0.3">
      <c r="A61" s="32">
        <v>9</v>
      </c>
      <c r="B61" s="23" t="s">
        <v>298</v>
      </c>
      <c r="C61" s="34"/>
      <c r="D61" s="34"/>
      <c r="E61" s="32"/>
      <c r="F61" s="76"/>
      <c r="G61" s="33"/>
      <c r="H61" s="33"/>
      <c r="I61" s="76"/>
      <c r="J61" s="33"/>
      <c r="K61" s="34"/>
      <c r="L61" s="396">
        <f t="shared" si="3"/>
        <v>0</v>
      </c>
    </row>
    <row r="62" spans="1:12" s="10" customFormat="1" ht="24.9" customHeight="1" x14ac:dyDescent="0.3">
      <c r="A62" s="30"/>
      <c r="B62" s="21" t="s">
        <v>211</v>
      </c>
      <c r="C62" s="195"/>
      <c r="D62" s="202"/>
      <c r="E62" s="195"/>
      <c r="F62" s="195">
        <f>1956000</f>
        <v>1956000</v>
      </c>
      <c r="G62" s="198"/>
      <c r="H62" s="198"/>
      <c r="I62" s="197"/>
      <c r="J62" s="198"/>
      <c r="K62" s="202"/>
      <c r="L62" s="396">
        <f t="shared" si="3"/>
        <v>1956000</v>
      </c>
    </row>
    <row r="63" spans="1:12" ht="15.6" thickBot="1" x14ac:dyDescent="0.35">
      <c r="L63" s="396">
        <f t="shared" si="3"/>
        <v>0</v>
      </c>
    </row>
    <row r="64" spans="1:12" s="266" customFormat="1" ht="26.1" customHeight="1" thickBot="1" x14ac:dyDescent="0.35">
      <c r="A64" s="267"/>
      <c r="B64" s="268"/>
      <c r="C64" s="268"/>
      <c r="D64" s="268"/>
      <c r="E64" s="269"/>
      <c r="F64" s="389">
        <f>F42+F46+F52+F55+F56+F57+F62+F50</f>
        <v>66332541</v>
      </c>
      <c r="G64" s="269"/>
      <c r="H64" s="269"/>
      <c r="I64" s="269"/>
      <c r="J64" s="269"/>
      <c r="K64" s="268"/>
      <c r="L64" s="396">
        <f t="shared" si="3"/>
        <v>66332541</v>
      </c>
    </row>
    <row r="65" spans="1:12" x14ac:dyDescent="0.3">
      <c r="L65" s="396">
        <f t="shared" si="3"/>
        <v>0</v>
      </c>
    </row>
    <row r="66" spans="1:12" ht="21" x14ac:dyDescent="0.3">
      <c r="A66" s="342"/>
      <c r="B66" s="595" t="s">
        <v>212</v>
      </c>
      <c r="C66" s="595"/>
      <c r="D66" s="595"/>
      <c r="E66" s="595"/>
      <c r="F66" s="595"/>
      <c r="G66" s="595"/>
      <c r="H66" s="595"/>
      <c r="I66" s="595"/>
      <c r="J66" s="363"/>
      <c r="K66" s="364"/>
    </row>
    <row r="67" spans="1:12" ht="63" x14ac:dyDescent="0.3">
      <c r="A67" s="342" t="s">
        <v>213</v>
      </c>
      <c r="B67" s="343" t="s">
        <v>214</v>
      </c>
      <c r="C67" s="343" t="s">
        <v>215</v>
      </c>
      <c r="D67" s="343" t="s">
        <v>216</v>
      </c>
      <c r="E67" s="343" t="s">
        <v>217</v>
      </c>
      <c r="F67" s="343" t="s">
        <v>218</v>
      </c>
      <c r="G67" s="343" t="s">
        <v>219</v>
      </c>
      <c r="H67" s="343"/>
      <c r="I67" s="343" t="s">
        <v>220</v>
      </c>
      <c r="J67" s="596" t="s">
        <v>221</v>
      </c>
      <c r="K67" s="597"/>
    </row>
    <row r="68" spans="1:12" ht="21" x14ac:dyDescent="0.3">
      <c r="A68" s="344">
        <v>1</v>
      </c>
      <c r="B68" s="344">
        <v>2</v>
      </c>
      <c r="C68" s="344">
        <v>3</v>
      </c>
      <c r="D68" s="344">
        <v>4</v>
      </c>
      <c r="E68" s="370">
        <v>5</v>
      </c>
      <c r="F68" s="370">
        <v>6</v>
      </c>
      <c r="G68" s="370">
        <v>7</v>
      </c>
      <c r="H68" s="427"/>
      <c r="I68" s="359">
        <v>8</v>
      </c>
      <c r="J68" s="377" t="s">
        <v>299</v>
      </c>
      <c r="K68" s="378"/>
    </row>
    <row r="69" spans="1:12" ht="21" x14ac:dyDescent="0.3">
      <c r="A69" s="343">
        <v>1</v>
      </c>
      <c r="B69" s="595" t="s">
        <v>225</v>
      </c>
      <c r="C69" s="593" t="s">
        <v>226</v>
      </c>
      <c r="D69" s="593"/>
      <c r="E69" s="371"/>
      <c r="F69" s="371"/>
      <c r="G69" s="371"/>
      <c r="H69" s="428"/>
      <c r="I69" s="360">
        <f t="shared" ref="I69:I82" si="4">SUM(E69:G69)</f>
        <v>0</v>
      </c>
      <c r="J69" s="379"/>
      <c r="K69" s="380"/>
    </row>
    <row r="70" spans="1:12" ht="21" x14ac:dyDescent="0.3">
      <c r="A70" s="343">
        <v>2</v>
      </c>
      <c r="B70" s="595"/>
      <c r="C70" s="593" t="s">
        <v>227</v>
      </c>
      <c r="D70" s="593"/>
      <c r="E70" s="371"/>
      <c r="F70" s="371"/>
      <c r="G70" s="372" t="e">
        <f>#REF!</f>
        <v>#REF!</v>
      </c>
      <c r="H70" s="429"/>
      <c r="I70" s="360" t="e">
        <f t="shared" si="4"/>
        <v>#REF!</v>
      </c>
      <c r="J70" s="379"/>
      <c r="K70" s="380"/>
    </row>
    <row r="71" spans="1:12" ht="21" x14ac:dyDescent="0.3">
      <c r="A71" s="343">
        <v>3</v>
      </c>
      <c r="B71" s="595"/>
      <c r="C71" s="593" t="s">
        <v>229</v>
      </c>
      <c r="D71" s="593"/>
      <c r="E71" s="372" t="e">
        <f>#REF!</f>
        <v>#REF!</v>
      </c>
      <c r="F71" s="372" t="e">
        <f>#REF!</f>
        <v>#REF!</v>
      </c>
      <c r="G71" s="372" t="e">
        <f>#REF!</f>
        <v>#REF!</v>
      </c>
      <c r="H71" s="429"/>
      <c r="I71" s="361" t="e">
        <f>SUM(E71:G71)</f>
        <v>#REF!</v>
      </c>
      <c r="J71" s="381" t="e">
        <f>(' DEMAND'!D7*1000)-'BILL MEET '!E71</f>
        <v>#REF!</v>
      </c>
      <c r="K71" s="381"/>
    </row>
    <row r="72" spans="1:12" ht="21" x14ac:dyDescent="0.3">
      <c r="A72" s="343">
        <v>4</v>
      </c>
      <c r="B72" s="595"/>
      <c r="C72" s="593" t="s">
        <v>230</v>
      </c>
      <c r="D72" s="593"/>
      <c r="E72" s="373"/>
      <c r="F72" s="371"/>
      <c r="G72" s="371"/>
      <c r="H72" s="428"/>
      <c r="I72" s="360">
        <f t="shared" si="4"/>
        <v>0</v>
      </c>
      <c r="J72" s="381"/>
      <c r="K72" s="381"/>
    </row>
    <row r="73" spans="1:12" ht="21" x14ac:dyDescent="0.3">
      <c r="A73" s="343">
        <v>5</v>
      </c>
      <c r="B73" s="595"/>
      <c r="C73" s="593" t="s">
        <v>231</v>
      </c>
      <c r="D73" s="593"/>
      <c r="E73" s="371"/>
      <c r="F73" s="371"/>
      <c r="G73" s="372" t="e">
        <f>#REF!</f>
        <v>#REF!</v>
      </c>
      <c r="H73" s="429"/>
      <c r="I73" s="360" t="e">
        <f t="shared" si="4"/>
        <v>#REF!</v>
      </c>
      <c r="J73" s="381"/>
      <c r="K73" s="381"/>
    </row>
    <row r="74" spans="1:12" ht="21" x14ac:dyDescent="0.3">
      <c r="A74" s="343">
        <v>6</v>
      </c>
      <c r="B74" s="595"/>
      <c r="C74" s="593" t="s">
        <v>232</v>
      </c>
      <c r="D74" s="593"/>
      <c r="E74" s="371"/>
      <c r="F74" s="371"/>
      <c r="G74" s="372" t="e">
        <f>#REF!</f>
        <v>#REF!</v>
      </c>
      <c r="H74" s="429"/>
      <c r="I74" s="360" t="e">
        <f t="shared" si="4"/>
        <v>#REF!</v>
      </c>
      <c r="J74" s="381"/>
      <c r="K74" s="381"/>
    </row>
    <row r="75" spans="1:12" ht="21" x14ac:dyDescent="0.3">
      <c r="A75" s="343">
        <v>7</v>
      </c>
      <c r="B75" s="595"/>
      <c r="C75" s="593" t="s">
        <v>233</v>
      </c>
      <c r="D75" s="593"/>
      <c r="E75" s="371"/>
      <c r="F75" s="371"/>
      <c r="G75" s="371"/>
      <c r="H75" s="428"/>
      <c r="I75" s="360">
        <f t="shared" si="4"/>
        <v>0</v>
      </c>
      <c r="J75" s="381"/>
      <c r="K75" s="381"/>
    </row>
    <row r="76" spans="1:12" ht="21" x14ac:dyDescent="0.3">
      <c r="A76" s="343">
        <v>8</v>
      </c>
      <c r="B76" s="595"/>
      <c r="C76" s="593" t="s">
        <v>234</v>
      </c>
      <c r="D76" s="593"/>
      <c r="E76" s="371"/>
      <c r="F76" s="371"/>
      <c r="G76" s="372" t="e">
        <f>#REF!</f>
        <v>#REF!</v>
      </c>
      <c r="H76" s="429"/>
      <c r="I76" s="360" t="e">
        <f t="shared" si="4"/>
        <v>#REF!</v>
      </c>
      <c r="J76" s="381"/>
      <c r="K76" s="381"/>
    </row>
    <row r="77" spans="1:12" ht="21" x14ac:dyDescent="0.3">
      <c r="A77" s="343">
        <v>9</v>
      </c>
      <c r="B77" s="595"/>
      <c r="C77" s="593" t="s">
        <v>235</v>
      </c>
      <c r="D77" s="593"/>
      <c r="E77" s="371"/>
      <c r="F77" s="371"/>
      <c r="G77" s="371"/>
      <c r="H77" s="428"/>
      <c r="I77" s="360">
        <f t="shared" si="4"/>
        <v>0</v>
      </c>
      <c r="J77" s="381"/>
      <c r="K77" s="381"/>
    </row>
    <row r="78" spans="1:12" ht="21" x14ac:dyDescent="0.3">
      <c r="A78" s="343">
        <v>10</v>
      </c>
      <c r="B78" s="595"/>
      <c r="C78" s="593" t="s">
        <v>236</v>
      </c>
      <c r="D78" s="593"/>
      <c r="E78" s="371"/>
      <c r="F78" s="371"/>
      <c r="G78" s="371"/>
      <c r="H78" s="428"/>
      <c r="I78" s="360">
        <f t="shared" si="4"/>
        <v>0</v>
      </c>
      <c r="J78" s="381"/>
      <c r="K78" s="381"/>
    </row>
    <row r="79" spans="1:12" ht="21" x14ac:dyDescent="0.3">
      <c r="A79" s="343">
        <v>11</v>
      </c>
      <c r="B79" s="595"/>
      <c r="C79" s="593" t="s">
        <v>237</v>
      </c>
      <c r="D79" s="593"/>
      <c r="E79" s="372" t="e">
        <f>#REF!</f>
        <v>#REF!</v>
      </c>
      <c r="F79" s="372" t="e">
        <f>#REF!</f>
        <v>#REF!</v>
      </c>
      <c r="G79" s="372" t="e">
        <f>#REF!</f>
        <v>#REF!</v>
      </c>
      <c r="H79" s="429"/>
      <c r="I79" s="360" t="e">
        <f t="shared" si="4"/>
        <v>#REF!</v>
      </c>
      <c r="J79" s="381"/>
      <c r="K79" s="381"/>
    </row>
    <row r="80" spans="1:12" ht="21" x14ac:dyDescent="0.3">
      <c r="A80" s="343"/>
      <c r="B80" s="595"/>
      <c r="C80" s="593" t="s">
        <v>238</v>
      </c>
      <c r="D80" s="593"/>
      <c r="E80" s="371"/>
      <c r="F80" s="371"/>
      <c r="G80" s="372" t="e">
        <f>#REF!</f>
        <v>#REF!</v>
      </c>
      <c r="H80" s="429"/>
      <c r="I80" s="360" t="e">
        <f t="shared" si="4"/>
        <v>#REF!</v>
      </c>
      <c r="J80" s="381"/>
      <c r="K80" s="381"/>
    </row>
    <row r="81" spans="1:11" ht="21" x14ac:dyDescent="0.3">
      <c r="A81" s="343">
        <v>12</v>
      </c>
      <c r="B81" s="595"/>
      <c r="C81" s="593" t="s">
        <v>239</v>
      </c>
      <c r="D81" s="593"/>
      <c r="E81" s="371"/>
      <c r="F81" s="371"/>
      <c r="G81" s="372" t="e">
        <f>#REF!</f>
        <v>#REF!</v>
      </c>
      <c r="H81" s="429"/>
      <c r="I81" s="360" t="e">
        <f t="shared" si="4"/>
        <v>#REF!</v>
      </c>
      <c r="J81" s="381"/>
      <c r="K81" s="381"/>
    </row>
    <row r="82" spans="1:11" ht="42" customHeight="1" x14ac:dyDescent="0.3">
      <c r="A82" s="343">
        <v>13</v>
      </c>
      <c r="B82" s="595"/>
      <c r="C82" s="593" t="s">
        <v>240</v>
      </c>
      <c r="D82" s="593"/>
      <c r="E82" s="374"/>
      <c r="F82" s="371"/>
      <c r="G82" s="372" t="e">
        <f>#REF!</f>
        <v>#REF!</v>
      </c>
      <c r="H82" s="429"/>
      <c r="I82" s="360" t="e">
        <f t="shared" si="4"/>
        <v>#REF!</v>
      </c>
      <c r="J82" s="381"/>
      <c r="K82" s="381"/>
    </row>
    <row r="83" spans="1:11" ht="21" x14ac:dyDescent="0.3">
      <c r="A83" s="343"/>
      <c r="B83" s="343"/>
      <c r="C83" s="591" t="s">
        <v>220</v>
      </c>
      <c r="D83" s="592"/>
      <c r="E83" s="375" t="e">
        <f>SUM(E69:E82)</f>
        <v>#REF!</v>
      </c>
      <c r="F83" s="375" t="e">
        <f t="shared" ref="F83:I83" si="5">SUM(F69:F82)</f>
        <v>#REF!</v>
      </c>
      <c r="G83" s="376" t="e">
        <f t="shared" si="5"/>
        <v>#REF!</v>
      </c>
      <c r="H83" s="430"/>
      <c r="I83" s="362" t="e">
        <f t="shared" si="5"/>
        <v>#REF!</v>
      </c>
      <c r="J83" s="379"/>
      <c r="K83" s="380"/>
    </row>
  </sheetData>
  <mergeCells count="22">
    <mergeCell ref="K27:K30"/>
    <mergeCell ref="A1:G1"/>
    <mergeCell ref="A47:A48"/>
    <mergeCell ref="B47:B49"/>
    <mergeCell ref="B66:I66"/>
    <mergeCell ref="J67:K67"/>
    <mergeCell ref="B69:B82"/>
    <mergeCell ref="C69:D69"/>
    <mergeCell ref="C70:D70"/>
    <mergeCell ref="C71:D71"/>
    <mergeCell ref="C72:D72"/>
    <mergeCell ref="C73:D73"/>
    <mergeCell ref="C80:D80"/>
    <mergeCell ref="C81:D81"/>
    <mergeCell ref="C82:D82"/>
    <mergeCell ref="C83:D83"/>
    <mergeCell ref="C74:D74"/>
    <mergeCell ref="C75:D75"/>
    <mergeCell ref="C76:D76"/>
    <mergeCell ref="C77:D77"/>
    <mergeCell ref="C78:D78"/>
    <mergeCell ref="C79:D79"/>
  </mergeCells>
  <printOptions horizontalCentered="1" verticalCentered="1"/>
  <pageMargins left="0.25" right="0.21" top="0.31496062992125984" bottom="0.11811023622047245" header="0.31496062992125984" footer="0.31496062992125984"/>
  <pageSetup scale="49" orientation="portrait" r:id="rId1"/>
  <rowBreaks count="1" manualBreakCount="1">
    <brk id="41" max="6" man="1"/>
  </rowBreaks>
  <colBreaks count="1" manualBreakCount="1">
    <brk id="8" max="114"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0F29C-53DD-41EE-9E1B-3A6F5E2E8771}">
  <sheetPr>
    <tabColor theme="8" tint="0.39997558519241921"/>
    <pageSetUpPr fitToPage="1"/>
  </sheetPr>
  <dimension ref="A1:Q139"/>
  <sheetViews>
    <sheetView view="pageBreakPreview" zoomScaleNormal="60" zoomScaleSheetLayoutView="100" workbookViewId="0">
      <pane xSplit="2" ySplit="2" topLeftCell="C45" activePane="bottomRight" state="frozen"/>
      <selection pane="topRight" activeCell="C1" sqref="C1"/>
      <selection pane="bottomLeft" activeCell="A3" sqref="A3"/>
      <selection pane="bottomRight" activeCell="E53" sqref="E53"/>
    </sheetView>
  </sheetViews>
  <sheetFormatPr defaultColWidth="8.6640625" defaultRowHeight="15" x14ac:dyDescent="0.3"/>
  <cols>
    <col min="1" max="1" width="5.5546875" style="4" customWidth="1"/>
    <col min="2" max="2" width="28.44140625" style="5" customWidth="1"/>
    <col min="3" max="3" width="22.109375" style="5" customWidth="1"/>
    <col min="4" max="4" width="14.109375" style="5" customWidth="1"/>
    <col min="5" max="5" width="22.109375" style="4" customWidth="1"/>
    <col min="6" max="6" width="15.5546875" style="4" customWidth="1"/>
    <col min="7" max="7" width="57.33203125" style="4" customWidth="1"/>
    <col min="8" max="8" width="16.88671875" style="4" customWidth="1"/>
    <col min="9" max="9" width="16" style="4" customWidth="1"/>
    <col min="10" max="10" width="110.88671875" style="5" hidden="1" customWidth="1"/>
    <col min="11" max="11" width="16.44140625" style="5" customWidth="1"/>
    <col min="12" max="12" width="9" style="5" bestFit="1" customWidth="1"/>
    <col min="13" max="17" width="16.33203125" style="5" customWidth="1"/>
    <col min="18" max="16384" width="8.6640625" style="5"/>
  </cols>
  <sheetData>
    <row r="1" spans="1:11" ht="17.399999999999999" x14ac:dyDescent="0.3">
      <c r="A1" s="611" t="s">
        <v>300</v>
      </c>
      <c r="B1" s="612"/>
      <c r="C1" s="612"/>
      <c r="D1" s="612"/>
      <c r="E1" s="612"/>
      <c r="F1" s="612"/>
      <c r="G1" s="613"/>
      <c r="H1" s="265"/>
      <c r="I1" s="265"/>
      <c r="J1" s="265"/>
    </row>
    <row r="2" spans="1:11" s="10" customFormat="1" ht="42.6" customHeight="1" x14ac:dyDescent="0.3">
      <c r="A2" s="18" t="s">
        <v>4</v>
      </c>
      <c r="B2" s="57" t="s">
        <v>5</v>
      </c>
      <c r="C2" s="58" t="s">
        <v>6</v>
      </c>
      <c r="D2" s="58" t="s">
        <v>7</v>
      </c>
      <c r="E2" s="58" t="s">
        <v>8</v>
      </c>
      <c r="F2" s="58" t="s">
        <v>301</v>
      </c>
      <c r="G2" s="58" t="s">
        <v>10</v>
      </c>
      <c r="H2" s="58" t="s">
        <v>254</v>
      </c>
      <c r="I2" s="58" t="s">
        <v>13</v>
      </c>
      <c r="J2" s="58" t="s">
        <v>14</v>
      </c>
    </row>
    <row r="3" spans="1:11" ht="23.25" customHeight="1" x14ac:dyDescent="0.3">
      <c r="A3" s="30">
        <v>1</v>
      </c>
      <c r="B3" s="112" t="s">
        <v>302</v>
      </c>
      <c r="C3" s="195" t="s">
        <v>25</v>
      </c>
      <c r="D3" s="195" t="s">
        <v>26</v>
      </c>
      <c r="E3" s="195" t="s">
        <v>27</v>
      </c>
      <c r="F3" s="201">
        <v>3657952</v>
      </c>
      <c r="G3" s="395" t="s">
        <v>303</v>
      </c>
      <c r="H3" s="197"/>
      <c r="I3" s="198"/>
      <c r="J3" s="143"/>
      <c r="K3" s="396">
        <f>F3-H3</f>
        <v>3657952</v>
      </c>
    </row>
    <row r="4" spans="1:11" ht="23.25" customHeight="1" x14ac:dyDescent="0.3">
      <c r="A4" s="30"/>
      <c r="B4" s="474" t="s">
        <v>304</v>
      </c>
      <c r="C4" s="195" t="s">
        <v>29</v>
      </c>
      <c r="D4" s="200">
        <v>46184</v>
      </c>
      <c r="E4" s="196" t="s">
        <v>30</v>
      </c>
      <c r="F4" s="394">
        <v>1024240</v>
      </c>
      <c r="G4" s="402" t="s">
        <v>305</v>
      </c>
      <c r="H4" s="331">
        <v>970255</v>
      </c>
      <c r="I4" s="198" t="s">
        <v>31</v>
      </c>
      <c r="J4" s="143"/>
      <c r="K4" s="396">
        <f t="shared" ref="K4:K22" si="0">F4-H4</f>
        <v>53985</v>
      </c>
    </row>
    <row r="5" spans="1:11" ht="21" customHeight="1" x14ac:dyDescent="0.3">
      <c r="A5" s="30"/>
      <c r="B5" s="112"/>
      <c r="C5" s="143"/>
      <c r="D5" s="143"/>
      <c r="E5" s="228" t="s">
        <v>306</v>
      </c>
      <c r="F5" s="146">
        <f>SUM(F3:F4)</f>
        <v>4682192</v>
      </c>
      <c r="G5" s="273"/>
      <c r="H5" s="272"/>
      <c r="I5" s="273"/>
      <c r="J5" s="143"/>
      <c r="K5" s="396">
        <f t="shared" si="0"/>
        <v>4682192</v>
      </c>
    </row>
    <row r="6" spans="1:11" ht="18.899999999999999" customHeight="1" x14ac:dyDescent="0.3">
      <c r="A6" s="112">
        <v>2</v>
      </c>
      <c r="B6" s="112" t="s">
        <v>307</v>
      </c>
      <c r="C6" s="195" t="s">
        <v>308</v>
      </c>
      <c r="D6" s="200">
        <v>46171</v>
      </c>
      <c r="E6" s="196">
        <v>46023</v>
      </c>
      <c r="F6" s="201">
        <v>4633825</v>
      </c>
      <c r="G6" s="402" t="s">
        <v>309</v>
      </c>
      <c r="H6" s="201">
        <v>4633825</v>
      </c>
      <c r="I6" s="198" t="s">
        <v>35</v>
      </c>
      <c r="J6" s="603" t="s">
        <v>36</v>
      </c>
      <c r="K6" s="396">
        <f t="shared" si="0"/>
        <v>0</v>
      </c>
    </row>
    <row r="7" spans="1:11" ht="27.6" customHeight="1" x14ac:dyDescent="0.3">
      <c r="A7" s="112"/>
      <c r="B7" s="112" t="s">
        <v>307</v>
      </c>
      <c r="C7" s="195" t="s">
        <v>37</v>
      </c>
      <c r="D7" s="195" t="s">
        <v>38</v>
      </c>
      <c r="E7" s="196">
        <v>46054</v>
      </c>
      <c r="F7" s="197">
        <v>5067348</v>
      </c>
      <c r="G7" s="402" t="s">
        <v>305</v>
      </c>
      <c r="H7" s="197">
        <v>5067348</v>
      </c>
      <c r="I7" s="198" t="s">
        <v>35</v>
      </c>
      <c r="J7" s="603"/>
      <c r="K7" s="396">
        <f t="shared" si="0"/>
        <v>0</v>
      </c>
    </row>
    <row r="8" spans="1:11" ht="21" customHeight="1" x14ac:dyDescent="0.3">
      <c r="A8" s="30"/>
      <c r="B8" s="112" t="s">
        <v>307</v>
      </c>
      <c r="C8" s="195" t="s">
        <v>39</v>
      </c>
      <c r="D8" s="195" t="s">
        <v>38</v>
      </c>
      <c r="E8" s="196">
        <v>46082</v>
      </c>
      <c r="F8" s="207">
        <v>5158115</v>
      </c>
      <c r="G8" s="402" t="s">
        <v>305</v>
      </c>
      <c r="H8" s="207">
        <v>5158115</v>
      </c>
      <c r="I8" s="198" t="s">
        <v>35</v>
      </c>
      <c r="J8" s="227"/>
      <c r="K8" s="396">
        <f t="shared" si="0"/>
        <v>0</v>
      </c>
    </row>
    <row r="9" spans="1:11" ht="21" customHeight="1" x14ac:dyDescent="0.3">
      <c r="A9" s="30"/>
      <c r="B9" s="112" t="s">
        <v>307</v>
      </c>
      <c r="C9" s="204" t="s">
        <v>40</v>
      </c>
      <c r="D9" s="204" t="s">
        <v>41</v>
      </c>
      <c r="E9" s="206">
        <v>46113</v>
      </c>
      <c r="F9" s="207">
        <v>5334952</v>
      </c>
      <c r="G9" s="395" t="s">
        <v>310</v>
      </c>
      <c r="H9" s="207"/>
      <c r="I9" s="285"/>
      <c r="J9" s="227"/>
      <c r="K9" s="396">
        <f t="shared" si="0"/>
        <v>5334952</v>
      </c>
    </row>
    <row r="10" spans="1:11" ht="21" customHeight="1" x14ac:dyDescent="0.3">
      <c r="A10" s="30"/>
      <c r="B10" s="112" t="s">
        <v>307</v>
      </c>
      <c r="C10" s="312" t="s">
        <v>42</v>
      </c>
      <c r="D10" s="312" t="s">
        <v>43</v>
      </c>
      <c r="E10" s="335">
        <v>46143</v>
      </c>
      <c r="F10" s="317">
        <v>5175888</v>
      </c>
      <c r="G10" s="198" t="s">
        <v>311</v>
      </c>
      <c r="H10" s="207"/>
      <c r="I10" s="285"/>
      <c r="J10" s="227"/>
      <c r="K10" s="396"/>
    </row>
    <row r="11" spans="1:11" ht="21" customHeight="1" x14ac:dyDescent="0.3">
      <c r="A11" s="30"/>
      <c r="B11" s="112" t="s">
        <v>307</v>
      </c>
      <c r="C11" s="312" t="s">
        <v>45</v>
      </c>
      <c r="D11" s="312" t="s">
        <v>43</v>
      </c>
      <c r="E11" s="335">
        <v>46174</v>
      </c>
      <c r="F11" s="317">
        <v>5087025</v>
      </c>
      <c r="G11" s="198" t="s">
        <v>48</v>
      </c>
      <c r="H11" s="207"/>
      <c r="I11" s="285"/>
      <c r="J11" s="227"/>
      <c r="K11" s="396"/>
    </row>
    <row r="12" spans="1:11" ht="21" customHeight="1" x14ac:dyDescent="0.3">
      <c r="A12" s="30"/>
      <c r="B12" s="112" t="s">
        <v>307</v>
      </c>
      <c r="C12" s="204" t="s">
        <v>46</v>
      </c>
      <c r="D12" s="205">
        <v>46247</v>
      </c>
      <c r="E12" s="206" t="s">
        <v>47</v>
      </c>
      <c r="F12" s="207">
        <v>3431999</v>
      </c>
      <c r="G12" s="198" t="s">
        <v>48</v>
      </c>
      <c r="H12" s="207"/>
      <c r="I12" s="285"/>
      <c r="J12" s="227"/>
      <c r="K12" s="396"/>
    </row>
    <row r="13" spans="1:11" ht="21" customHeight="1" x14ac:dyDescent="0.3">
      <c r="A13" s="30"/>
      <c r="B13" s="112" t="s">
        <v>307</v>
      </c>
      <c r="C13" s="204" t="s">
        <v>49</v>
      </c>
      <c r="D13" s="205">
        <v>46248</v>
      </c>
      <c r="E13" s="206" t="s">
        <v>50</v>
      </c>
      <c r="F13" s="207">
        <v>4290000</v>
      </c>
      <c r="G13" s="198" t="s">
        <v>48</v>
      </c>
      <c r="H13" s="207"/>
      <c r="I13" s="285"/>
      <c r="J13" s="227"/>
      <c r="K13" s="396"/>
    </row>
    <row r="14" spans="1:11" ht="21" customHeight="1" x14ac:dyDescent="0.3">
      <c r="A14" s="30"/>
      <c r="B14" s="112" t="s">
        <v>307</v>
      </c>
      <c r="C14" s="204" t="s">
        <v>51</v>
      </c>
      <c r="D14" s="205">
        <v>46252</v>
      </c>
      <c r="E14" s="206" t="s">
        <v>52</v>
      </c>
      <c r="F14" s="207">
        <v>10296000</v>
      </c>
      <c r="G14" s="198" t="s">
        <v>48</v>
      </c>
      <c r="H14" s="207"/>
      <c r="I14" s="285"/>
      <c r="J14" s="227"/>
      <c r="K14" s="396"/>
    </row>
    <row r="15" spans="1:11" ht="21" customHeight="1" x14ac:dyDescent="0.3">
      <c r="A15" s="30"/>
      <c r="B15" s="112" t="s">
        <v>307</v>
      </c>
      <c r="C15" s="204" t="s">
        <v>312</v>
      </c>
      <c r="D15" s="205" t="s">
        <v>313</v>
      </c>
      <c r="E15" s="206">
        <v>46204</v>
      </c>
      <c r="F15" s="207">
        <v>5087025</v>
      </c>
      <c r="G15" s="198" t="s">
        <v>314</v>
      </c>
      <c r="H15" s="207"/>
      <c r="I15" s="285"/>
      <c r="J15" s="227"/>
      <c r="K15" s="396"/>
    </row>
    <row r="16" spans="1:11" ht="21" customHeight="1" x14ac:dyDescent="0.3">
      <c r="A16" s="30"/>
      <c r="B16" s="112"/>
      <c r="C16" s="275"/>
      <c r="D16" s="275"/>
      <c r="E16" s="228" t="s">
        <v>315</v>
      </c>
      <c r="F16" s="146">
        <f>SUM(F6:F9)</f>
        <v>20194240</v>
      </c>
      <c r="G16" s="281"/>
      <c r="H16" s="282"/>
      <c r="I16" s="281"/>
      <c r="J16" s="283"/>
      <c r="K16" s="396">
        <f t="shared" si="0"/>
        <v>20194240</v>
      </c>
    </row>
    <row r="17" spans="1:16" s="10" customFormat="1" ht="30.6" customHeight="1" x14ac:dyDescent="0.3">
      <c r="A17" s="30">
        <v>3</v>
      </c>
      <c r="B17" s="112" t="s">
        <v>316</v>
      </c>
      <c r="C17" s="311" t="s">
        <v>54</v>
      </c>
      <c r="D17" s="200">
        <v>46099</v>
      </c>
      <c r="E17" s="196" t="s">
        <v>55</v>
      </c>
      <c r="F17" s="207">
        <v>2512984</v>
      </c>
      <c r="G17" s="402" t="s">
        <v>305</v>
      </c>
      <c r="H17" s="207">
        <v>2512984</v>
      </c>
      <c r="I17" s="198" t="s">
        <v>35</v>
      </c>
      <c r="J17" s="236" t="s">
        <v>36</v>
      </c>
      <c r="K17" s="396">
        <f t="shared" si="0"/>
        <v>0</v>
      </c>
    </row>
    <row r="18" spans="1:16" ht="24.9" customHeight="1" x14ac:dyDescent="0.3">
      <c r="A18" s="64"/>
      <c r="B18" s="112" t="s">
        <v>316</v>
      </c>
      <c r="C18" s="311" t="s">
        <v>57</v>
      </c>
      <c r="D18" s="200">
        <v>46099</v>
      </c>
      <c r="E18" s="196" t="s">
        <v>58</v>
      </c>
      <c r="F18" s="207">
        <v>2760750</v>
      </c>
      <c r="G18" s="402" t="s">
        <v>305</v>
      </c>
      <c r="H18" s="207">
        <v>2760750</v>
      </c>
      <c r="I18" s="198" t="s">
        <v>35</v>
      </c>
      <c r="J18" s="62"/>
      <c r="K18" s="396">
        <f t="shared" si="0"/>
        <v>0</v>
      </c>
    </row>
    <row r="19" spans="1:16" ht="24.9" customHeight="1" x14ac:dyDescent="0.3">
      <c r="A19" s="64"/>
      <c r="B19" s="112" t="s">
        <v>316</v>
      </c>
      <c r="C19" s="311" t="s">
        <v>59</v>
      </c>
      <c r="D19" s="200">
        <v>46099</v>
      </c>
      <c r="E19" s="196" t="s">
        <v>60</v>
      </c>
      <c r="F19" s="207">
        <v>2681371</v>
      </c>
      <c r="G19" s="402" t="s">
        <v>305</v>
      </c>
      <c r="H19" s="207">
        <v>2681371</v>
      </c>
      <c r="I19" s="198" t="s">
        <v>35</v>
      </c>
      <c r="J19" s="62"/>
      <c r="K19" s="396">
        <f t="shared" si="0"/>
        <v>0</v>
      </c>
    </row>
    <row r="20" spans="1:16" ht="24.9" customHeight="1" x14ac:dyDescent="0.3">
      <c r="A20" s="64"/>
      <c r="B20" s="112" t="s">
        <v>316</v>
      </c>
      <c r="C20" s="315" t="s">
        <v>61</v>
      </c>
      <c r="D20" s="200">
        <v>46150</v>
      </c>
      <c r="E20" s="196">
        <v>46023</v>
      </c>
      <c r="F20" s="197">
        <v>2610484</v>
      </c>
      <c r="G20" s="413" t="s">
        <v>317</v>
      </c>
      <c r="H20" s="314"/>
      <c r="I20" s="313"/>
      <c r="J20" s="62"/>
      <c r="K20" s="396">
        <f t="shared" si="0"/>
        <v>2610484</v>
      </c>
      <c r="N20" s="419"/>
      <c r="O20" s="419"/>
      <c r="P20" s="419"/>
    </row>
    <row r="21" spans="1:16" ht="24.9" customHeight="1" x14ac:dyDescent="0.3">
      <c r="A21" s="64"/>
      <c r="B21" s="112" t="s">
        <v>316</v>
      </c>
      <c r="C21" s="315" t="s">
        <v>63</v>
      </c>
      <c r="D21" s="200">
        <v>46150</v>
      </c>
      <c r="E21" s="196">
        <v>46054</v>
      </c>
      <c r="F21" s="197">
        <v>2475000</v>
      </c>
      <c r="G21" s="413" t="s">
        <v>318</v>
      </c>
      <c r="H21" s="314"/>
      <c r="I21" s="313"/>
      <c r="J21" s="62"/>
      <c r="K21" s="396">
        <f t="shared" si="0"/>
        <v>2475000</v>
      </c>
      <c r="N21" s="419"/>
      <c r="O21" s="419"/>
      <c r="P21" s="419"/>
    </row>
    <row r="22" spans="1:16" ht="24.9" customHeight="1" x14ac:dyDescent="0.3">
      <c r="A22" s="64"/>
      <c r="B22" s="112" t="s">
        <v>316</v>
      </c>
      <c r="C22" s="315" t="s">
        <v>64</v>
      </c>
      <c r="D22" s="200">
        <v>46218</v>
      </c>
      <c r="E22" s="196">
        <v>46082</v>
      </c>
      <c r="F22" s="197">
        <v>2649194</v>
      </c>
      <c r="G22" s="413" t="s">
        <v>319</v>
      </c>
      <c r="H22" s="314"/>
      <c r="I22" s="313"/>
      <c r="J22" s="62"/>
      <c r="K22" s="396">
        <f t="shared" si="0"/>
        <v>2649194</v>
      </c>
    </row>
    <row r="23" spans="1:16" ht="24.9" customHeight="1" x14ac:dyDescent="0.3">
      <c r="A23" s="64"/>
      <c r="B23" s="112" t="s">
        <v>316</v>
      </c>
      <c r="C23" s="517" t="s">
        <v>320</v>
      </c>
      <c r="D23" s="518">
        <v>46218</v>
      </c>
      <c r="E23" s="519" t="s">
        <v>321</v>
      </c>
      <c r="F23" s="515">
        <v>7307019</v>
      </c>
      <c r="G23" s="516" t="s">
        <v>322</v>
      </c>
      <c r="H23" s="314"/>
      <c r="I23" s="313"/>
      <c r="J23" s="62"/>
      <c r="K23" s="396">
        <f>F23-H23</f>
        <v>7307019</v>
      </c>
    </row>
    <row r="24" spans="1:16" ht="24.9" customHeight="1" x14ac:dyDescent="0.3">
      <c r="A24" s="64"/>
      <c r="B24" s="112" t="s">
        <v>316</v>
      </c>
      <c r="C24" s="315" t="s">
        <v>65</v>
      </c>
      <c r="D24" s="200">
        <v>46218</v>
      </c>
      <c r="E24" s="196">
        <v>46113</v>
      </c>
      <c r="F24" s="197">
        <v>2812500</v>
      </c>
      <c r="G24" s="413" t="s">
        <v>319</v>
      </c>
      <c r="H24" s="314"/>
      <c r="I24" s="313"/>
      <c r="J24" s="62"/>
      <c r="K24" s="396">
        <f t="shared" ref="K24:K104" si="1">F24-H24</f>
        <v>2812500</v>
      </c>
    </row>
    <row r="25" spans="1:16" ht="24.9" customHeight="1" x14ac:dyDescent="0.3">
      <c r="A25" s="64"/>
      <c r="B25" s="112" t="s">
        <v>316</v>
      </c>
      <c r="C25" s="315" t="s">
        <v>66</v>
      </c>
      <c r="D25" s="200">
        <v>46253</v>
      </c>
      <c r="E25" s="196">
        <v>46143</v>
      </c>
      <c r="F25" s="197">
        <v>2741492</v>
      </c>
      <c r="G25" s="198" t="s">
        <v>260</v>
      </c>
      <c r="H25" s="314"/>
      <c r="I25" s="313"/>
      <c r="J25" s="62"/>
      <c r="K25" s="396"/>
    </row>
    <row r="26" spans="1:16" ht="24.9" customHeight="1" x14ac:dyDescent="0.3">
      <c r="A26" s="64"/>
      <c r="B26" s="112" t="s">
        <v>316</v>
      </c>
      <c r="C26" s="315" t="s">
        <v>68</v>
      </c>
      <c r="D26" s="200">
        <v>46254</v>
      </c>
      <c r="E26" s="467" t="s">
        <v>323</v>
      </c>
      <c r="F26" s="317">
        <v>5553334</v>
      </c>
      <c r="G26" s="316" t="s">
        <v>324</v>
      </c>
      <c r="H26" s="314"/>
      <c r="I26" s="313"/>
      <c r="J26" s="62"/>
      <c r="K26" s="396"/>
    </row>
    <row r="27" spans="1:16" ht="24.9" customHeight="1" x14ac:dyDescent="0.3">
      <c r="A27" s="64"/>
      <c r="B27" s="63"/>
      <c r="C27" s="62"/>
      <c r="D27" s="62"/>
      <c r="E27" s="228" t="s">
        <v>325</v>
      </c>
      <c r="F27" s="73">
        <f>SUM(F17:F24)</f>
        <v>25809302</v>
      </c>
      <c r="G27" s="65"/>
      <c r="H27" s="73"/>
      <c r="I27" s="65"/>
      <c r="J27" s="62"/>
      <c r="K27" s="396">
        <f t="shared" si="1"/>
        <v>25809302</v>
      </c>
    </row>
    <row r="28" spans="1:16" s="10" customFormat="1" ht="21.75" customHeight="1" x14ac:dyDescent="0.3">
      <c r="A28" s="30">
        <v>4</v>
      </c>
      <c r="B28" s="475" t="s">
        <v>326</v>
      </c>
      <c r="C28" s="315" t="s">
        <v>72</v>
      </c>
      <c r="D28" s="196" t="s">
        <v>73</v>
      </c>
      <c r="E28" s="196">
        <v>46023</v>
      </c>
      <c r="F28" s="207">
        <v>5782137</v>
      </c>
      <c r="G28" s="402" t="s">
        <v>327</v>
      </c>
      <c r="H28" s="317">
        <v>5760363</v>
      </c>
      <c r="I28" s="198" t="s">
        <v>75</v>
      </c>
      <c r="J28" s="236" t="s">
        <v>76</v>
      </c>
      <c r="K28" s="396">
        <f t="shared" si="1"/>
        <v>21774</v>
      </c>
    </row>
    <row r="29" spans="1:16" s="10" customFormat="1" ht="21.75" customHeight="1" x14ac:dyDescent="0.3">
      <c r="A29" s="30"/>
      <c r="B29" s="475" t="s">
        <v>326</v>
      </c>
      <c r="C29" s="315" t="s">
        <v>77</v>
      </c>
      <c r="D29" s="196" t="s">
        <v>78</v>
      </c>
      <c r="E29" s="196">
        <v>46054</v>
      </c>
      <c r="F29" s="207">
        <v>4757544</v>
      </c>
      <c r="G29" s="402" t="s">
        <v>327</v>
      </c>
      <c r="H29" s="317">
        <v>4700625</v>
      </c>
      <c r="I29" s="198" t="s">
        <v>75</v>
      </c>
      <c r="J29" s="236"/>
      <c r="K29" s="396">
        <f t="shared" si="1"/>
        <v>56919</v>
      </c>
    </row>
    <row r="30" spans="1:16" s="10" customFormat="1" ht="21.75" customHeight="1" x14ac:dyDescent="0.3">
      <c r="A30" s="30"/>
      <c r="B30" s="475" t="s">
        <v>326</v>
      </c>
      <c r="C30" s="315" t="s">
        <v>79</v>
      </c>
      <c r="D30" s="196" t="s">
        <v>80</v>
      </c>
      <c r="E30" s="196">
        <v>46082</v>
      </c>
      <c r="F30" s="197">
        <v>3537097</v>
      </c>
      <c r="G30" s="198" t="s">
        <v>328</v>
      </c>
      <c r="H30" s="197">
        <f>3495968</f>
        <v>3495968</v>
      </c>
      <c r="I30" s="198"/>
      <c r="J30" s="236"/>
      <c r="K30" s="396">
        <f t="shared" si="1"/>
        <v>41129</v>
      </c>
    </row>
    <row r="31" spans="1:16" s="10" customFormat="1" ht="21.75" customHeight="1" x14ac:dyDescent="0.3">
      <c r="A31" s="30"/>
      <c r="B31" s="475" t="s">
        <v>326</v>
      </c>
      <c r="C31" s="431" t="s">
        <v>82</v>
      </c>
      <c r="D31" s="335" t="s">
        <v>83</v>
      </c>
      <c r="E31" s="432" t="s">
        <v>84</v>
      </c>
      <c r="F31" s="317">
        <v>5280000</v>
      </c>
      <c r="G31" s="198" t="s">
        <v>311</v>
      </c>
      <c r="H31" s="314"/>
      <c r="I31" s="198"/>
      <c r="J31" s="236"/>
      <c r="K31" s="396">
        <f t="shared" si="1"/>
        <v>5280000</v>
      </c>
    </row>
    <row r="32" spans="1:16" s="10" customFormat="1" ht="21.75" customHeight="1" x14ac:dyDescent="0.3">
      <c r="A32" s="30"/>
      <c r="B32" s="475" t="s">
        <v>326</v>
      </c>
      <c r="C32" s="431" t="s">
        <v>86</v>
      </c>
      <c r="D32" s="335" t="s">
        <v>83</v>
      </c>
      <c r="E32" s="433" t="s">
        <v>87</v>
      </c>
      <c r="F32" s="317">
        <v>4224000</v>
      </c>
      <c r="G32" s="198" t="s">
        <v>311</v>
      </c>
      <c r="H32" s="314"/>
      <c r="I32" s="198"/>
      <c r="J32" s="236"/>
      <c r="K32" s="396">
        <f t="shared" si="1"/>
        <v>4224000</v>
      </c>
    </row>
    <row r="33" spans="1:15" s="10" customFormat="1" ht="21.75" customHeight="1" x14ac:dyDescent="0.3">
      <c r="A33" s="30"/>
      <c r="B33" s="475" t="s">
        <v>326</v>
      </c>
      <c r="C33" s="431" t="s">
        <v>88</v>
      </c>
      <c r="D33" s="335" t="s">
        <v>83</v>
      </c>
      <c r="E33" s="433" t="s">
        <v>89</v>
      </c>
      <c r="F33" s="317">
        <v>4224000</v>
      </c>
      <c r="G33" s="198" t="s">
        <v>311</v>
      </c>
      <c r="H33" s="314"/>
      <c r="I33" s="198"/>
      <c r="J33" s="236"/>
      <c r="K33" s="396"/>
    </row>
    <row r="34" spans="1:15" s="10" customFormat="1" ht="21.75" customHeight="1" x14ac:dyDescent="0.3">
      <c r="A34" s="30"/>
      <c r="B34" s="475" t="s">
        <v>326</v>
      </c>
      <c r="C34" s="431" t="s">
        <v>90</v>
      </c>
      <c r="D34" s="335" t="s">
        <v>83</v>
      </c>
      <c r="E34" s="433" t="s">
        <v>91</v>
      </c>
      <c r="F34" s="317">
        <v>2112001</v>
      </c>
      <c r="G34" s="198" t="s">
        <v>311</v>
      </c>
      <c r="H34" s="314"/>
      <c r="I34" s="198"/>
      <c r="J34" s="236"/>
      <c r="K34" s="396">
        <f t="shared" si="1"/>
        <v>2112001</v>
      </c>
    </row>
    <row r="35" spans="1:15" ht="21.75" customHeight="1" x14ac:dyDescent="0.3">
      <c r="A35" s="64"/>
      <c r="B35" s="63"/>
      <c r="C35" s="302"/>
      <c r="D35" s="62"/>
      <c r="E35" s="228" t="s">
        <v>329</v>
      </c>
      <c r="F35" s="73">
        <f>SUM(F28:F34)</f>
        <v>29916779</v>
      </c>
      <c r="G35" s="60"/>
      <c r="H35" s="73"/>
      <c r="I35" s="60"/>
      <c r="J35" s="62"/>
      <c r="K35" s="396">
        <f t="shared" si="1"/>
        <v>29916779</v>
      </c>
      <c r="M35" s="441"/>
      <c r="N35" s="441"/>
      <c r="O35" s="441"/>
    </row>
    <row r="36" spans="1:15" s="10" customFormat="1" ht="21.75" customHeight="1" x14ac:dyDescent="0.3">
      <c r="A36" s="30">
        <v>5</v>
      </c>
      <c r="B36" s="112" t="s">
        <v>330</v>
      </c>
      <c r="C36" s="315" t="s">
        <v>93</v>
      </c>
      <c r="D36" s="196" t="s">
        <v>94</v>
      </c>
      <c r="E36" s="196">
        <v>46023</v>
      </c>
      <c r="F36" s="207">
        <v>1405176</v>
      </c>
      <c r="G36" s="402" t="s">
        <v>305</v>
      </c>
      <c r="H36" s="317">
        <v>1405176</v>
      </c>
      <c r="I36" s="198" t="s">
        <v>56</v>
      </c>
      <c r="J36" s="235" t="s">
        <v>36</v>
      </c>
      <c r="K36" s="396">
        <f t="shared" si="1"/>
        <v>0</v>
      </c>
      <c r="M36" s="441"/>
      <c r="N36" s="441"/>
      <c r="O36" s="441"/>
    </row>
    <row r="37" spans="1:15" s="10" customFormat="1" ht="21.75" customHeight="1" x14ac:dyDescent="0.3">
      <c r="A37" s="30"/>
      <c r="B37" s="112" t="s">
        <v>330</v>
      </c>
      <c r="C37" s="315" t="s">
        <v>95</v>
      </c>
      <c r="D37" s="196" t="s">
        <v>96</v>
      </c>
      <c r="E37" s="196">
        <v>46054</v>
      </c>
      <c r="F37" s="207">
        <v>1602686</v>
      </c>
      <c r="G37" s="402" t="s">
        <v>305</v>
      </c>
      <c r="H37" s="317">
        <v>1602686</v>
      </c>
      <c r="I37" s="198" t="s">
        <v>97</v>
      </c>
      <c r="J37" s="235"/>
      <c r="K37" s="396">
        <f t="shared" si="1"/>
        <v>0</v>
      </c>
    </row>
    <row r="38" spans="1:15" s="10" customFormat="1" ht="21.75" customHeight="1" x14ac:dyDescent="0.3">
      <c r="A38" s="30"/>
      <c r="B38" s="112" t="s">
        <v>330</v>
      </c>
      <c r="C38" s="315" t="s">
        <v>331</v>
      </c>
      <c r="D38" s="196">
        <v>46184</v>
      </c>
      <c r="E38" s="196">
        <v>46082</v>
      </c>
      <c r="F38" s="197">
        <v>1552946</v>
      </c>
      <c r="G38" s="413" t="s">
        <v>332</v>
      </c>
      <c r="H38" s="317"/>
      <c r="I38" s="316"/>
      <c r="J38" s="235"/>
      <c r="K38" s="396">
        <f t="shared" si="1"/>
        <v>1552946</v>
      </c>
    </row>
    <row r="39" spans="1:15" s="10" customFormat="1" ht="21.75" customHeight="1" x14ac:dyDescent="0.3">
      <c r="A39" s="30"/>
      <c r="B39" s="112" t="s">
        <v>330</v>
      </c>
      <c r="C39" s="315" t="s">
        <v>333</v>
      </c>
      <c r="D39" s="196">
        <v>46214</v>
      </c>
      <c r="E39" s="196">
        <v>46113</v>
      </c>
      <c r="F39" s="197">
        <v>1625749</v>
      </c>
      <c r="G39" s="413" t="s">
        <v>332</v>
      </c>
      <c r="H39" s="317"/>
      <c r="I39" s="316"/>
      <c r="J39" s="235"/>
      <c r="K39" s="396">
        <f t="shared" si="1"/>
        <v>1625749</v>
      </c>
    </row>
    <row r="40" spans="1:15" s="10" customFormat="1" ht="21.75" customHeight="1" x14ac:dyDescent="0.3">
      <c r="A40" s="30"/>
      <c r="B40" s="112" t="s">
        <v>330</v>
      </c>
      <c r="C40" s="315" t="s">
        <v>99</v>
      </c>
      <c r="D40" s="196">
        <v>46259</v>
      </c>
      <c r="E40" s="196">
        <v>46143</v>
      </c>
      <c r="F40" s="197">
        <v>2350861</v>
      </c>
      <c r="G40" s="198" t="s">
        <v>100</v>
      </c>
      <c r="H40" s="317"/>
      <c r="I40" s="316"/>
      <c r="J40" s="235"/>
      <c r="K40" s="396"/>
    </row>
    <row r="41" spans="1:15" s="10" customFormat="1" ht="21.75" customHeight="1" x14ac:dyDescent="0.3">
      <c r="A41" s="30"/>
      <c r="B41" s="112" t="s">
        <v>330</v>
      </c>
      <c r="C41" s="315" t="s">
        <v>101</v>
      </c>
      <c r="D41" s="196">
        <v>46259</v>
      </c>
      <c r="E41" s="196">
        <v>46174</v>
      </c>
      <c r="F41" s="197">
        <v>2583790</v>
      </c>
      <c r="G41" s="198" t="s">
        <v>100</v>
      </c>
      <c r="H41" s="317"/>
      <c r="I41" s="316"/>
      <c r="J41" s="235"/>
      <c r="K41" s="396"/>
    </row>
    <row r="42" spans="1:15" s="10" customFormat="1" ht="35.25" customHeight="1" x14ac:dyDescent="0.3">
      <c r="A42" s="30"/>
      <c r="B42" s="112" t="s">
        <v>330</v>
      </c>
      <c r="C42" s="315" t="s">
        <v>102</v>
      </c>
      <c r="D42" s="196">
        <v>46259</v>
      </c>
      <c r="E42" s="196" t="s">
        <v>103</v>
      </c>
      <c r="F42" s="197">
        <v>4774938</v>
      </c>
      <c r="G42" s="198" t="s">
        <v>100</v>
      </c>
      <c r="H42" s="317"/>
      <c r="I42" s="316"/>
      <c r="J42" s="235"/>
      <c r="K42" s="396"/>
    </row>
    <row r="43" spans="1:15" ht="23.4" customHeight="1" x14ac:dyDescent="0.3">
      <c r="A43" s="64"/>
      <c r="B43" s="62"/>
      <c r="C43" s="62"/>
      <c r="D43" s="62"/>
      <c r="E43" s="228" t="s">
        <v>334</v>
      </c>
      <c r="F43" s="73">
        <f>SUM(F36:F42)</f>
        <v>15896146</v>
      </c>
      <c r="G43" s="60"/>
      <c r="H43" s="73"/>
      <c r="I43" s="60"/>
      <c r="J43" s="62"/>
      <c r="K43" s="396">
        <f t="shared" si="1"/>
        <v>15896146</v>
      </c>
    </row>
    <row r="44" spans="1:15" ht="23.4" customHeight="1" x14ac:dyDescent="0.3">
      <c r="A44" s="64">
        <v>6</v>
      </c>
      <c r="B44" s="408" t="s">
        <v>335</v>
      </c>
      <c r="C44" s="191" t="s">
        <v>105</v>
      </c>
      <c r="D44" s="392" t="s">
        <v>336</v>
      </c>
      <c r="E44" s="191">
        <v>45839</v>
      </c>
      <c r="F44" s="393">
        <v>840952.71</v>
      </c>
      <c r="G44" s="402" t="s">
        <v>337</v>
      </c>
      <c r="H44" s="393">
        <v>840952.71</v>
      </c>
      <c r="I44" s="192" t="s">
        <v>106</v>
      </c>
      <c r="J44" s="62"/>
      <c r="K44" s="396">
        <f t="shared" si="1"/>
        <v>0</v>
      </c>
    </row>
    <row r="45" spans="1:15" ht="23.4" customHeight="1" x14ac:dyDescent="0.3">
      <c r="A45" s="64"/>
      <c r="B45" s="408" t="s">
        <v>335</v>
      </c>
      <c r="C45" s="191" t="s">
        <v>107</v>
      </c>
      <c r="D45" s="392" t="s">
        <v>338</v>
      </c>
      <c r="E45" s="191">
        <v>45870</v>
      </c>
      <c r="F45" s="393">
        <v>2215560.39</v>
      </c>
      <c r="G45" s="402" t="s">
        <v>337</v>
      </c>
      <c r="H45" s="393">
        <v>2215560.39</v>
      </c>
      <c r="I45" s="192" t="s">
        <v>106</v>
      </c>
      <c r="J45" s="62"/>
      <c r="K45" s="396">
        <f t="shared" si="1"/>
        <v>0</v>
      </c>
    </row>
    <row r="46" spans="1:15" ht="23.4" customHeight="1" x14ac:dyDescent="0.3">
      <c r="A46" s="64"/>
      <c r="B46" s="408" t="s">
        <v>335</v>
      </c>
      <c r="C46" s="191" t="s">
        <v>108</v>
      </c>
      <c r="D46" s="392" t="s">
        <v>339</v>
      </c>
      <c r="E46" s="191" t="s">
        <v>109</v>
      </c>
      <c r="F46" s="393">
        <v>4084336.95</v>
      </c>
      <c r="G46" s="402" t="s">
        <v>337</v>
      </c>
      <c r="H46" s="393">
        <v>4084336.95</v>
      </c>
      <c r="I46" s="192" t="s">
        <v>106</v>
      </c>
      <c r="J46" s="62"/>
      <c r="K46" s="396">
        <f t="shared" si="1"/>
        <v>0</v>
      </c>
    </row>
    <row r="47" spans="1:15" ht="23.4" customHeight="1" x14ac:dyDescent="0.3">
      <c r="A47" s="64"/>
      <c r="B47" s="408" t="s">
        <v>335</v>
      </c>
      <c r="C47" s="191" t="s">
        <v>110</v>
      </c>
      <c r="D47" s="392" t="s">
        <v>340</v>
      </c>
      <c r="E47" s="191" t="s">
        <v>55</v>
      </c>
      <c r="F47" s="393">
        <v>5703517</v>
      </c>
      <c r="G47" s="402" t="s">
        <v>337</v>
      </c>
      <c r="H47" s="393">
        <v>5703517</v>
      </c>
      <c r="I47" s="192" t="s">
        <v>106</v>
      </c>
      <c r="J47" s="62"/>
      <c r="K47" s="396">
        <f t="shared" si="1"/>
        <v>0</v>
      </c>
    </row>
    <row r="48" spans="1:15" ht="23.4" customHeight="1" x14ac:dyDescent="0.3">
      <c r="A48" s="64"/>
      <c r="B48" s="408" t="s">
        <v>335</v>
      </c>
      <c r="C48" s="191" t="s">
        <v>111</v>
      </c>
      <c r="D48" s="392" t="s">
        <v>341</v>
      </c>
      <c r="E48" s="191" t="s">
        <v>58</v>
      </c>
      <c r="F48" s="393">
        <v>5685511</v>
      </c>
      <c r="G48" s="402" t="s">
        <v>337</v>
      </c>
      <c r="H48" s="393">
        <v>5668850</v>
      </c>
      <c r="I48" s="192" t="s">
        <v>106</v>
      </c>
      <c r="J48" s="62"/>
      <c r="K48" s="396">
        <f t="shared" si="1"/>
        <v>16661</v>
      </c>
    </row>
    <row r="49" spans="1:17" ht="21.75" customHeight="1" x14ac:dyDescent="0.3">
      <c r="A49" s="64"/>
      <c r="B49" s="408" t="s">
        <v>335</v>
      </c>
      <c r="C49" s="191" t="s">
        <v>112</v>
      </c>
      <c r="D49" s="392" t="s">
        <v>342</v>
      </c>
      <c r="E49" s="191" t="s">
        <v>60</v>
      </c>
      <c r="F49" s="393">
        <v>5687393</v>
      </c>
      <c r="G49" s="402" t="s">
        <v>337</v>
      </c>
      <c r="H49" s="393">
        <v>5687393</v>
      </c>
      <c r="I49" s="192" t="s">
        <v>106</v>
      </c>
      <c r="J49" s="62"/>
      <c r="K49" s="396">
        <f t="shared" si="1"/>
        <v>0</v>
      </c>
      <c r="M49" s="419"/>
      <c r="N49" s="419"/>
      <c r="O49" s="419"/>
    </row>
    <row r="50" spans="1:17" ht="21.75" customHeight="1" x14ac:dyDescent="0.3">
      <c r="A50" s="64"/>
      <c r="B50" s="408" t="s">
        <v>335</v>
      </c>
      <c r="C50" s="191" t="s">
        <v>113</v>
      </c>
      <c r="D50" s="392" t="s">
        <v>343</v>
      </c>
      <c r="E50" s="191" t="s">
        <v>114</v>
      </c>
      <c r="F50" s="369">
        <v>5711580</v>
      </c>
      <c r="G50" s="402" t="s">
        <v>337</v>
      </c>
      <c r="H50" s="393">
        <v>5711580</v>
      </c>
      <c r="I50" s="192" t="s">
        <v>106</v>
      </c>
      <c r="J50" s="62"/>
      <c r="K50" s="396">
        <f t="shared" si="1"/>
        <v>0</v>
      </c>
      <c r="M50" s="419"/>
      <c r="N50" s="419"/>
      <c r="O50" s="419"/>
    </row>
    <row r="51" spans="1:17" s="17" customFormat="1" ht="20.25" customHeight="1" x14ac:dyDescent="0.3">
      <c r="A51" s="112"/>
      <c r="B51" s="408" t="s">
        <v>335</v>
      </c>
      <c r="C51" s="301" t="s">
        <v>115</v>
      </c>
      <c r="D51" s="223" t="s">
        <v>116</v>
      </c>
      <c r="E51" s="223" t="s">
        <v>117</v>
      </c>
      <c r="F51" s="226">
        <v>5734901</v>
      </c>
      <c r="G51" s="402" t="s">
        <v>305</v>
      </c>
      <c r="H51" s="233">
        <v>5734901</v>
      </c>
      <c r="I51" s="225" t="s">
        <v>75</v>
      </c>
      <c r="J51" s="186"/>
      <c r="K51" s="396">
        <f t="shared" si="1"/>
        <v>0</v>
      </c>
      <c r="M51" s="419"/>
      <c r="N51" s="419"/>
      <c r="O51" s="419"/>
      <c r="P51" s="5"/>
      <c r="Q51" s="5"/>
    </row>
    <row r="52" spans="1:17" s="10" customFormat="1" ht="20.25" customHeight="1" x14ac:dyDescent="0.3">
      <c r="A52" s="112"/>
      <c r="B52" s="408" t="s">
        <v>335</v>
      </c>
      <c r="C52" s="301" t="s">
        <v>118</v>
      </c>
      <c r="D52" s="223" t="s">
        <v>119</v>
      </c>
      <c r="E52" s="223" t="s">
        <v>120</v>
      </c>
      <c r="F52" s="226">
        <v>5727703</v>
      </c>
      <c r="G52" s="402" t="s">
        <v>305</v>
      </c>
      <c r="H52" s="233">
        <v>5727703</v>
      </c>
      <c r="I52" s="225" t="s">
        <v>75</v>
      </c>
      <c r="J52" s="186" t="s">
        <v>121</v>
      </c>
      <c r="K52" s="396">
        <f t="shared" si="1"/>
        <v>0</v>
      </c>
      <c r="M52" s="419"/>
      <c r="N52" s="419"/>
      <c r="O52" s="419"/>
      <c r="P52" s="5"/>
      <c r="Q52" s="5"/>
    </row>
    <row r="53" spans="1:17" s="11" customFormat="1" ht="20.25" customHeight="1" x14ac:dyDescent="0.3">
      <c r="A53" s="112"/>
      <c r="B53" s="408" t="s">
        <v>335</v>
      </c>
      <c r="C53" s="301" t="s">
        <v>122</v>
      </c>
      <c r="D53" s="223" t="s">
        <v>123</v>
      </c>
      <c r="E53" s="301" t="s">
        <v>124</v>
      </c>
      <c r="F53" s="224">
        <v>11028148</v>
      </c>
      <c r="G53" s="395" t="s">
        <v>344</v>
      </c>
      <c r="H53" s="239"/>
      <c r="I53" s="225"/>
      <c r="J53" s="186"/>
      <c r="K53" s="396">
        <f t="shared" si="1"/>
        <v>11028148</v>
      </c>
      <c r="Q53" s="5"/>
    </row>
    <row r="54" spans="1:17" s="11" customFormat="1" ht="20.25" customHeight="1" x14ac:dyDescent="0.3">
      <c r="A54" s="30"/>
      <c r="B54" s="408" t="s">
        <v>335</v>
      </c>
      <c r="C54" s="301" t="s">
        <v>126</v>
      </c>
      <c r="D54" s="223" t="s">
        <v>123</v>
      </c>
      <c r="E54" s="301" t="s">
        <v>127</v>
      </c>
      <c r="F54" s="224">
        <v>4595062</v>
      </c>
      <c r="G54" s="198" t="s">
        <v>268</v>
      </c>
      <c r="H54" s="239"/>
      <c r="I54" s="225"/>
      <c r="J54" s="186"/>
      <c r="K54" s="396">
        <f t="shared" si="1"/>
        <v>4595062</v>
      </c>
    </row>
    <row r="55" spans="1:17" s="11" customFormat="1" ht="20.25" customHeight="1" x14ac:dyDescent="0.3">
      <c r="A55" s="30"/>
      <c r="B55" s="408" t="s">
        <v>335</v>
      </c>
      <c r="C55" s="301" t="s">
        <v>129</v>
      </c>
      <c r="D55" s="223" t="s">
        <v>130</v>
      </c>
      <c r="E55" s="301" t="s">
        <v>345</v>
      </c>
      <c r="F55" s="224">
        <v>3676049</v>
      </c>
      <c r="G55" s="198" t="s">
        <v>346</v>
      </c>
      <c r="H55" s="239"/>
      <c r="I55" s="225"/>
      <c r="J55" s="186"/>
      <c r="K55" s="396">
        <f t="shared" si="1"/>
        <v>3676049</v>
      </c>
    </row>
    <row r="56" spans="1:17" s="11" customFormat="1" ht="20.25" customHeight="1" x14ac:dyDescent="0.3">
      <c r="A56" s="30"/>
      <c r="B56" s="408" t="s">
        <v>335</v>
      </c>
      <c r="C56" s="301" t="s">
        <v>132</v>
      </c>
      <c r="D56" s="223" t="s">
        <v>123</v>
      </c>
      <c r="E56" s="223" t="s">
        <v>133</v>
      </c>
      <c r="F56" s="224">
        <v>5710504</v>
      </c>
      <c r="G56" s="402" t="s">
        <v>305</v>
      </c>
      <c r="H56" s="224">
        <v>5710504</v>
      </c>
      <c r="I56" s="225" t="s">
        <v>56</v>
      </c>
      <c r="J56" s="186"/>
      <c r="K56" s="396">
        <f t="shared" si="1"/>
        <v>0</v>
      </c>
    </row>
    <row r="57" spans="1:17" s="11" customFormat="1" ht="20.25" customHeight="1" x14ac:dyDescent="0.3">
      <c r="A57" s="30"/>
      <c r="B57" s="408" t="s">
        <v>335</v>
      </c>
      <c r="C57" s="301" t="s">
        <v>134</v>
      </c>
      <c r="D57" s="223" t="s">
        <v>135</v>
      </c>
      <c r="E57" s="223">
        <v>46143</v>
      </c>
      <c r="F57" s="224">
        <v>5703517</v>
      </c>
      <c r="G57" s="395" t="s">
        <v>310</v>
      </c>
      <c r="H57" s="224"/>
      <c r="I57" s="225"/>
      <c r="J57" s="186"/>
      <c r="K57" s="396">
        <f t="shared" si="1"/>
        <v>5703517</v>
      </c>
    </row>
    <row r="58" spans="1:17" s="11" customFormat="1" ht="20.25" customHeight="1" x14ac:dyDescent="0.3">
      <c r="A58" s="30"/>
      <c r="B58" s="408" t="s">
        <v>335</v>
      </c>
      <c r="C58" s="301" t="s">
        <v>136</v>
      </c>
      <c r="D58" s="223" t="s">
        <v>137</v>
      </c>
      <c r="E58" s="223">
        <v>46174</v>
      </c>
      <c r="F58" s="224">
        <v>5743827</v>
      </c>
      <c r="G58" s="198" t="s">
        <v>138</v>
      </c>
      <c r="H58" s="224"/>
      <c r="I58" s="225"/>
      <c r="J58" s="186"/>
      <c r="K58" s="396"/>
    </row>
    <row r="59" spans="1:17" s="11" customFormat="1" ht="20.25" customHeight="1" x14ac:dyDescent="0.3">
      <c r="A59" s="30"/>
      <c r="B59" s="408" t="s">
        <v>335</v>
      </c>
      <c r="C59" s="301" t="s">
        <v>139</v>
      </c>
      <c r="D59" s="223" t="s">
        <v>140</v>
      </c>
      <c r="E59" s="223">
        <v>46204</v>
      </c>
      <c r="F59" s="224">
        <v>5743827</v>
      </c>
      <c r="G59" s="198" t="s">
        <v>138</v>
      </c>
      <c r="H59" s="224"/>
      <c r="I59" s="225"/>
      <c r="J59" s="186"/>
      <c r="K59" s="396"/>
    </row>
    <row r="60" spans="1:17" s="11" customFormat="1" ht="20.25" customHeight="1" x14ac:dyDescent="0.3">
      <c r="A60" s="30"/>
      <c r="B60" s="27"/>
      <c r="C60" s="143"/>
      <c r="D60" s="143"/>
      <c r="E60" s="228" t="s">
        <v>347</v>
      </c>
      <c r="F60" s="146">
        <f>SUM(F44:F57)</f>
        <v>72104735.049999997</v>
      </c>
      <c r="G60" s="148"/>
      <c r="H60" s="149"/>
      <c r="I60" s="148"/>
      <c r="J60" s="186"/>
      <c r="K60" s="396">
        <f t="shared" si="1"/>
        <v>72104735.049999997</v>
      </c>
    </row>
    <row r="61" spans="1:17" s="307" customFormat="1" ht="20.25" customHeight="1" x14ac:dyDescent="0.3">
      <c r="A61" s="305"/>
      <c r="B61" s="306"/>
      <c r="C61" s="155"/>
      <c r="D61" s="155"/>
      <c r="E61" s="308" t="s">
        <v>348</v>
      </c>
      <c r="F61" s="318">
        <f>F5+F16+F27+F35+F43+F60</f>
        <v>168603394.05000001</v>
      </c>
      <c r="G61" s="310"/>
      <c r="H61" s="309"/>
      <c r="I61" s="309"/>
      <c r="J61" s="305"/>
      <c r="K61" s="396">
        <f t="shared" si="1"/>
        <v>168603394.05000001</v>
      </c>
    </row>
    <row r="62" spans="1:17" s="10" customFormat="1" ht="21.6" customHeight="1" x14ac:dyDescent="0.3">
      <c r="A62" s="32">
        <v>7</v>
      </c>
      <c r="B62" s="23" t="s">
        <v>349</v>
      </c>
      <c r="C62" s="195" t="s">
        <v>144</v>
      </c>
      <c r="D62" s="202" t="s">
        <v>143</v>
      </c>
      <c r="E62" s="195" t="s">
        <v>144</v>
      </c>
      <c r="F62" s="197">
        <v>1345257</v>
      </c>
      <c r="G62" s="198" t="s">
        <v>350</v>
      </c>
      <c r="H62" s="197"/>
      <c r="I62" s="198"/>
      <c r="J62" s="237"/>
      <c r="K62" s="396">
        <f t="shared" si="1"/>
        <v>1345257</v>
      </c>
    </row>
    <row r="63" spans="1:17" s="10" customFormat="1" ht="21.6" customHeight="1" x14ac:dyDescent="0.3">
      <c r="A63" s="30"/>
      <c r="B63" s="23" t="s">
        <v>349</v>
      </c>
      <c r="C63" s="195" t="s">
        <v>351</v>
      </c>
      <c r="D63" s="202"/>
      <c r="E63" s="196">
        <v>46143</v>
      </c>
      <c r="F63" s="207">
        <v>1139128</v>
      </c>
      <c r="G63" s="402" t="s">
        <v>352</v>
      </c>
      <c r="H63" s="197">
        <v>1096935</v>
      </c>
      <c r="I63" s="198" t="s">
        <v>35</v>
      </c>
      <c r="J63" s="237"/>
      <c r="K63" s="396">
        <f t="shared" si="1"/>
        <v>42193</v>
      </c>
    </row>
    <row r="64" spans="1:17" s="10" customFormat="1" ht="21.6" customHeight="1" x14ac:dyDescent="0.3">
      <c r="A64" s="30"/>
      <c r="B64" s="23" t="s">
        <v>349</v>
      </c>
      <c r="C64" s="195" t="s">
        <v>146</v>
      </c>
      <c r="D64" s="202" t="s">
        <v>148</v>
      </c>
      <c r="E64" s="196">
        <v>46174</v>
      </c>
      <c r="F64" s="317">
        <v>1307888</v>
      </c>
      <c r="G64" s="395" t="s">
        <v>310</v>
      </c>
      <c r="H64" s="197"/>
      <c r="I64" s="198"/>
      <c r="J64" s="237"/>
      <c r="K64" s="396"/>
      <c r="L64" s="403"/>
    </row>
    <row r="65" spans="1:12" s="10" customFormat="1" ht="21.6" customHeight="1" x14ac:dyDescent="0.3">
      <c r="A65" s="30"/>
      <c r="B65" s="23" t="s">
        <v>349</v>
      </c>
      <c r="C65" s="195" t="s">
        <v>149</v>
      </c>
      <c r="D65" s="202" t="s">
        <v>150</v>
      </c>
      <c r="E65" s="196">
        <v>46204</v>
      </c>
      <c r="F65" s="317">
        <v>1307888</v>
      </c>
      <c r="G65" s="198" t="s">
        <v>151</v>
      </c>
      <c r="H65" s="197"/>
      <c r="I65" s="198"/>
      <c r="J65" s="237"/>
      <c r="K65" s="396"/>
      <c r="L65" s="403"/>
    </row>
    <row r="66" spans="1:12" s="10" customFormat="1" ht="21.75" customHeight="1" x14ac:dyDescent="0.3">
      <c r="A66" s="30"/>
      <c r="B66" s="21"/>
      <c r="C66" s="59"/>
      <c r="D66" s="62"/>
      <c r="E66" s="228" t="s">
        <v>353</v>
      </c>
      <c r="F66" s="73">
        <f>SUM(F62:F63)</f>
        <v>2484385</v>
      </c>
      <c r="G66" s="65"/>
      <c r="H66" s="73"/>
      <c r="I66" s="65"/>
      <c r="J66" s="237"/>
      <c r="K66" s="396">
        <f t="shared" si="1"/>
        <v>2484385</v>
      </c>
    </row>
    <row r="67" spans="1:12" s="10" customFormat="1" ht="21.75" customHeight="1" x14ac:dyDescent="0.3">
      <c r="A67" s="30">
        <v>8</v>
      </c>
      <c r="B67" s="23" t="s">
        <v>354</v>
      </c>
      <c r="C67" s="195">
        <v>2627103594</v>
      </c>
      <c r="D67" s="202" t="s">
        <v>153</v>
      </c>
      <c r="E67" s="196">
        <v>46113</v>
      </c>
      <c r="F67" s="197">
        <v>690054</v>
      </c>
      <c r="G67" s="478" t="s">
        <v>355</v>
      </c>
      <c r="H67" s="73"/>
      <c r="I67" s="60" t="s">
        <v>155</v>
      </c>
      <c r="J67" s="237"/>
      <c r="K67" s="396"/>
    </row>
    <row r="68" spans="1:12" s="10" customFormat="1" ht="21.75" customHeight="1" x14ac:dyDescent="0.3">
      <c r="A68" s="30"/>
      <c r="B68" s="23" t="s">
        <v>354</v>
      </c>
      <c r="C68" s="195">
        <v>2627103595</v>
      </c>
      <c r="D68" s="202" t="s">
        <v>153</v>
      </c>
      <c r="E68" s="196">
        <v>46143</v>
      </c>
      <c r="F68" s="197">
        <v>740804</v>
      </c>
      <c r="G68" s="478" t="s">
        <v>355</v>
      </c>
      <c r="H68" s="73"/>
      <c r="I68" s="60" t="s">
        <v>155</v>
      </c>
      <c r="J68" s="237"/>
      <c r="K68" s="396"/>
    </row>
    <row r="69" spans="1:12" s="10" customFormat="1" ht="21.75" customHeight="1" x14ac:dyDescent="0.3">
      <c r="A69" s="30"/>
      <c r="B69" s="23" t="s">
        <v>354</v>
      </c>
      <c r="C69" s="195">
        <v>2627103596</v>
      </c>
      <c r="D69" s="202" t="s">
        <v>153</v>
      </c>
      <c r="E69" s="196">
        <v>46174</v>
      </c>
      <c r="F69" s="197">
        <v>770488</v>
      </c>
      <c r="G69" s="478" t="s">
        <v>355</v>
      </c>
      <c r="H69" s="73"/>
      <c r="I69" s="60" t="s">
        <v>155</v>
      </c>
      <c r="J69" s="237"/>
      <c r="K69" s="396"/>
    </row>
    <row r="70" spans="1:12" s="10" customFormat="1" ht="21.75" customHeight="1" x14ac:dyDescent="0.3">
      <c r="A70" s="30"/>
      <c r="B70" s="21"/>
      <c r="C70" s="59"/>
      <c r="D70" s="62"/>
      <c r="E70" s="228" t="s">
        <v>356</v>
      </c>
      <c r="F70" s="73">
        <f>SUM(F67:F69)</f>
        <v>2201346</v>
      </c>
      <c r="G70" s="65"/>
      <c r="H70" s="73"/>
      <c r="I70" s="65"/>
      <c r="J70" s="237"/>
      <c r="K70" s="396"/>
    </row>
    <row r="71" spans="1:12" s="10" customFormat="1" ht="20.25" customHeight="1" x14ac:dyDescent="0.3">
      <c r="A71" s="30">
        <v>9</v>
      </c>
      <c r="B71" s="23" t="s">
        <v>357</v>
      </c>
      <c r="C71" s="195" t="s">
        <v>157</v>
      </c>
      <c r="D71" s="195" t="s">
        <v>158</v>
      </c>
      <c r="E71" s="196" t="s">
        <v>358</v>
      </c>
      <c r="F71" s="317">
        <v>700330</v>
      </c>
      <c r="G71" s="402" t="s">
        <v>359</v>
      </c>
      <c r="H71" s="384">
        <v>700330</v>
      </c>
      <c r="I71" s="29" t="s">
        <v>160</v>
      </c>
      <c r="J71" s="21"/>
      <c r="K71" s="396">
        <f t="shared" si="1"/>
        <v>0</v>
      </c>
    </row>
    <row r="72" spans="1:12" s="10" customFormat="1" ht="20.25" customHeight="1" x14ac:dyDescent="0.3">
      <c r="A72" s="30"/>
      <c r="B72" s="23" t="s">
        <v>357</v>
      </c>
      <c r="C72" s="195" t="s">
        <v>161</v>
      </c>
      <c r="D72" s="195" t="s">
        <v>162</v>
      </c>
      <c r="E72" s="196" t="s">
        <v>163</v>
      </c>
      <c r="F72" s="197">
        <v>624810</v>
      </c>
      <c r="G72" s="395" t="s">
        <v>310</v>
      </c>
      <c r="H72" s="384"/>
      <c r="I72" s="29"/>
      <c r="J72" s="21"/>
      <c r="K72" s="396"/>
      <c r="L72" s="403"/>
    </row>
    <row r="73" spans="1:12" s="10" customFormat="1" ht="20.25" customHeight="1" x14ac:dyDescent="0.3">
      <c r="A73" s="30"/>
      <c r="B73" s="23" t="s">
        <v>357</v>
      </c>
      <c r="C73" s="195" t="s">
        <v>164</v>
      </c>
      <c r="D73" s="195" t="s">
        <v>162</v>
      </c>
      <c r="E73" s="196" t="s">
        <v>165</v>
      </c>
      <c r="F73" s="197">
        <v>631300</v>
      </c>
      <c r="G73" s="395" t="s">
        <v>310</v>
      </c>
      <c r="H73" s="384"/>
      <c r="I73" s="29"/>
      <c r="J73" s="21"/>
      <c r="K73" s="396"/>
    </row>
    <row r="74" spans="1:12" s="10" customFormat="1" ht="20.25" customHeight="1" x14ac:dyDescent="0.3">
      <c r="A74" s="400"/>
      <c r="B74" s="399"/>
      <c r="C74" s="143"/>
      <c r="D74" s="143"/>
      <c r="E74" s="228" t="s">
        <v>356</v>
      </c>
      <c r="F74" s="272"/>
      <c r="G74" s="273"/>
      <c r="H74" s="340"/>
      <c r="I74" s="29"/>
      <c r="J74" s="21"/>
      <c r="K74" s="396"/>
    </row>
    <row r="75" spans="1:12" s="10" customFormat="1" ht="20.25" customHeight="1" x14ac:dyDescent="0.3">
      <c r="A75" s="30">
        <v>10</v>
      </c>
      <c r="B75" s="27" t="s">
        <v>360</v>
      </c>
      <c r="C75" s="200">
        <v>46154</v>
      </c>
      <c r="D75" s="195"/>
      <c r="E75" s="196" t="s">
        <v>358</v>
      </c>
      <c r="F75" s="211">
        <v>329987</v>
      </c>
      <c r="G75" s="402" t="s">
        <v>361</v>
      </c>
      <c r="H75" s="385">
        <v>329987</v>
      </c>
      <c r="I75" s="29" t="s">
        <v>75</v>
      </c>
      <c r="J75" s="21"/>
      <c r="K75" s="396">
        <f t="shared" si="1"/>
        <v>0</v>
      </c>
    </row>
    <row r="76" spans="1:12" s="10" customFormat="1" ht="20.25" customHeight="1" x14ac:dyDescent="0.3">
      <c r="A76" s="30"/>
      <c r="B76" s="27"/>
      <c r="C76" s="21"/>
      <c r="D76" s="21"/>
      <c r="E76" s="30"/>
      <c r="F76" s="77"/>
      <c r="G76" s="31"/>
      <c r="H76" s="77"/>
      <c r="I76" s="31"/>
      <c r="J76" s="21"/>
      <c r="K76" s="396">
        <f t="shared" si="1"/>
        <v>0</v>
      </c>
    </row>
    <row r="77" spans="1:12" s="10" customFormat="1" ht="20.25" customHeight="1" x14ac:dyDescent="0.3">
      <c r="A77" s="30"/>
      <c r="B77" s="27"/>
      <c r="C77" s="21"/>
      <c r="D77" s="21"/>
      <c r="E77" s="30"/>
      <c r="F77" s="253">
        <f>F61+F66+F75+F71</f>
        <v>172118096.05000001</v>
      </c>
      <c r="G77" s="31"/>
      <c r="H77" s="77"/>
      <c r="I77" s="31"/>
      <c r="J77" s="21"/>
      <c r="K77" s="396">
        <f t="shared" si="1"/>
        <v>172118096.05000001</v>
      </c>
    </row>
    <row r="78" spans="1:12" s="322" customFormat="1" ht="20.25" customHeight="1" x14ac:dyDescent="0.3">
      <c r="A78" s="148"/>
      <c r="B78" s="319"/>
      <c r="C78" s="256"/>
      <c r="D78" s="256"/>
      <c r="E78" s="303"/>
      <c r="F78" s="320"/>
      <c r="G78" s="321"/>
      <c r="H78" s="321"/>
      <c r="I78" s="321"/>
      <c r="J78" s="148"/>
      <c r="K78" s="396">
        <f t="shared" si="1"/>
        <v>0</v>
      </c>
    </row>
    <row r="79" spans="1:12" s="15" customFormat="1" ht="39.75" customHeight="1" x14ac:dyDescent="0.3">
      <c r="A79" s="32">
        <v>11</v>
      </c>
      <c r="B79" s="477" t="s">
        <v>362</v>
      </c>
      <c r="C79" s="23" t="s">
        <v>363</v>
      </c>
      <c r="D79" s="23"/>
      <c r="E79" s="324" t="s">
        <v>284</v>
      </c>
      <c r="F79" s="76"/>
      <c r="G79" s="33"/>
      <c r="H79" s="76"/>
      <c r="I79" s="33"/>
      <c r="J79" s="23"/>
      <c r="K79" s="396">
        <f t="shared" si="1"/>
        <v>0</v>
      </c>
    </row>
    <row r="80" spans="1:12" s="10" customFormat="1" ht="20.25" customHeight="1" x14ac:dyDescent="0.3">
      <c r="A80" s="614"/>
      <c r="B80" s="477" t="s">
        <v>362</v>
      </c>
      <c r="C80" s="209" t="s">
        <v>168</v>
      </c>
      <c r="D80" s="210">
        <v>45937</v>
      </c>
      <c r="E80" s="287">
        <f>F80-H80</f>
        <v>962891.60000000009</v>
      </c>
      <c r="F80" s="211">
        <v>1925783.6</v>
      </c>
      <c r="G80" s="198"/>
      <c r="H80" s="211">
        <v>962892</v>
      </c>
      <c r="I80" s="212" t="s">
        <v>116</v>
      </c>
      <c r="J80" s="594" t="s">
        <v>169</v>
      </c>
      <c r="K80" s="396">
        <f t="shared" si="1"/>
        <v>962891.60000000009</v>
      </c>
    </row>
    <row r="81" spans="1:11" s="10" customFormat="1" ht="20.25" customHeight="1" x14ac:dyDescent="0.3">
      <c r="A81" s="614"/>
      <c r="B81" s="477" t="s">
        <v>362</v>
      </c>
      <c r="C81" s="209" t="s">
        <v>170</v>
      </c>
      <c r="D81" s="210">
        <v>45937</v>
      </c>
      <c r="E81" s="287">
        <f t="shared" ref="E81:E83" si="2">F81-H81</f>
        <v>268714.36</v>
      </c>
      <c r="F81" s="211">
        <v>358285.36</v>
      </c>
      <c r="G81" s="198"/>
      <c r="H81" s="211">
        <v>89571</v>
      </c>
      <c r="I81" s="212" t="s">
        <v>116</v>
      </c>
      <c r="J81" s="594"/>
      <c r="K81" s="396">
        <f t="shared" si="1"/>
        <v>268714.36</v>
      </c>
    </row>
    <row r="82" spans="1:11" s="10" customFormat="1" ht="20.25" customHeight="1" x14ac:dyDescent="0.3">
      <c r="A82" s="614"/>
      <c r="B82" s="477" t="s">
        <v>362</v>
      </c>
      <c r="C82" s="209" t="s">
        <v>171</v>
      </c>
      <c r="D82" s="210">
        <v>45937</v>
      </c>
      <c r="E82" s="287">
        <f t="shared" si="2"/>
        <v>268713.36</v>
      </c>
      <c r="F82" s="211">
        <v>358285.36</v>
      </c>
      <c r="G82" s="198"/>
      <c r="H82" s="211">
        <v>89572</v>
      </c>
      <c r="I82" s="212" t="s">
        <v>116</v>
      </c>
      <c r="J82" s="594"/>
      <c r="K82" s="396">
        <f t="shared" si="1"/>
        <v>268713.36</v>
      </c>
    </row>
    <row r="83" spans="1:11" s="10" customFormat="1" ht="20.25" customHeight="1" x14ac:dyDescent="0.3">
      <c r="A83" s="614"/>
      <c r="B83" s="477" t="s">
        <v>362</v>
      </c>
      <c r="C83" s="209" t="s">
        <v>172</v>
      </c>
      <c r="D83" s="210">
        <v>45937</v>
      </c>
      <c r="E83" s="287">
        <f t="shared" si="2"/>
        <v>268713.36</v>
      </c>
      <c r="F83" s="211">
        <v>358285.36</v>
      </c>
      <c r="G83" s="198"/>
      <c r="H83" s="211">
        <v>89572</v>
      </c>
      <c r="I83" s="212" t="s">
        <v>116</v>
      </c>
      <c r="J83" s="594"/>
      <c r="K83" s="396">
        <f t="shared" si="1"/>
        <v>268713.36</v>
      </c>
    </row>
    <row r="84" spans="1:11" s="10" customFormat="1" ht="21.6" customHeight="1" x14ac:dyDescent="0.3">
      <c r="A84" s="30"/>
      <c r="B84" s="27"/>
      <c r="C84" s="19"/>
      <c r="D84" s="25"/>
      <c r="E84" s="288">
        <f>SUM(E80:E83)</f>
        <v>1769032.6799999997</v>
      </c>
      <c r="F84" s="77">
        <f>SUM(F80:F83)</f>
        <v>3000639.6799999997</v>
      </c>
      <c r="G84" s="29"/>
      <c r="H84" s="77"/>
      <c r="I84" s="31"/>
      <c r="J84" s="21"/>
      <c r="K84" s="396">
        <f t="shared" si="1"/>
        <v>3000639.6799999997</v>
      </c>
    </row>
    <row r="85" spans="1:11" s="10" customFormat="1" ht="21.6" hidden="1" customHeight="1" x14ac:dyDescent="0.3">
      <c r="A85" s="30"/>
      <c r="B85" s="27"/>
      <c r="C85" s="19"/>
      <c r="D85" s="25"/>
      <c r="E85" s="68"/>
      <c r="F85" s="77"/>
      <c r="G85" s="29"/>
      <c r="H85" s="77"/>
      <c r="I85" s="31"/>
      <c r="J85" s="21"/>
      <c r="K85" s="396">
        <f t="shared" si="1"/>
        <v>0</v>
      </c>
    </row>
    <row r="86" spans="1:11" s="10" customFormat="1" ht="21.6" hidden="1" customHeight="1" x14ac:dyDescent="0.3">
      <c r="A86" s="30"/>
      <c r="B86" s="27"/>
      <c r="C86" s="19"/>
      <c r="D86" s="25"/>
      <c r="E86" s="68"/>
      <c r="F86" s="77"/>
      <c r="G86" s="29"/>
      <c r="H86" s="77"/>
      <c r="I86" s="31"/>
      <c r="J86" s="21"/>
      <c r="K86" s="396">
        <f t="shared" si="1"/>
        <v>0</v>
      </c>
    </row>
    <row r="87" spans="1:11" s="10" customFormat="1" ht="21.6" hidden="1" customHeight="1" x14ac:dyDescent="0.3">
      <c r="A87" s="30"/>
      <c r="B87" s="27"/>
      <c r="C87" s="19"/>
      <c r="D87" s="25"/>
      <c r="E87" s="68"/>
      <c r="F87" s="77"/>
      <c r="G87" s="29"/>
      <c r="H87" s="77"/>
      <c r="I87" s="31"/>
      <c r="J87" s="21"/>
      <c r="K87" s="396">
        <f t="shared" si="1"/>
        <v>0</v>
      </c>
    </row>
    <row r="88" spans="1:11" s="10" customFormat="1" ht="21.6" hidden="1" customHeight="1" x14ac:dyDescent="0.3">
      <c r="A88" s="30"/>
      <c r="B88" s="27"/>
      <c r="C88" s="19"/>
      <c r="D88" s="25"/>
      <c r="E88" s="68"/>
      <c r="F88" s="77"/>
      <c r="G88" s="29"/>
      <c r="H88" s="77"/>
      <c r="I88" s="31"/>
      <c r="J88" s="21"/>
      <c r="K88" s="396">
        <f t="shared" si="1"/>
        <v>0</v>
      </c>
    </row>
    <row r="89" spans="1:11" s="10" customFormat="1" ht="21.6" hidden="1" customHeight="1" x14ac:dyDescent="0.3">
      <c r="A89" s="30"/>
      <c r="B89" s="27"/>
      <c r="C89" s="19"/>
      <c r="D89" s="25"/>
      <c r="E89" s="68"/>
      <c r="F89" s="77"/>
      <c r="G89" s="29"/>
      <c r="H89" s="77"/>
      <c r="I89" s="31"/>
      <c r="J89" s="21"/>
      <c r="K89" s="396">
        <f t="shared" si="1"/>
        <v>0</v>
      </c>
    </row>
    <row r="90" spans="1:11" s="10" customFormat="1" ht="21.6" hidden="1" customHeight="1" x14ac:dyDescent="0.3">
      <c r="A90" s="30"/>
      <c r="B90" s="27"/>
      <c r="C90" s="19"/>
      <c r="D90" s="25"/>
      <c r="E90" s="68"/>
      <c r="F90" s="77"/>
      <c r="G90" s="29"/>
      <c r="H90" s="77"/>
      <c r="I90" s="31"/>
      <c r="J90" s="21"/>
      <c r="K90" s="396">
        <f t="shared" si="1"/>
        <v>0</v>
      </c>
    </row>
    <row r="91" spans="1:11" s="10" customFormat="1" ht="21.6" hidden="1" customHeight="1" x14ac:dyDescent="0.3">
      <c r="A91" s="30"/>
      <c r="B91" s="27"/>
      <c r="C91" s="19"/>
      <c r="D91" s="25"/>
      <c r="E91" s="68"/>
      <c r="F91" s="77"/>
      <c r="G91" s="29"/>
      <c r="H91" s="77"/>
      <c r="I91" s="31"/>
      <c r="J91" s="21"/>
      <c r="K91" s="396">
        <f t="shared" si="1"/>
        <v>0</v>
      </c>
    </row>
    <row r="92" spans="1:11" s="10" customFormat="1" ht="21.6" hidden="1" customHeight="1" x14ac:dyDescent="0.3">
      <c r="A92" s="30"/>
      <c r="B92" s="27"/>
      <c r="C92" s="19"/>
      <c r="D92" s="25"/>
      <c r="E92" s="68"/>
      <c r="F92" s="77"/>
      <c r="G92" s="29"/>
      <c r="H92" s="77"/>
      <c r="I92" s="31"/>
      <c r="J92" s="21"/>
      <c r="K92" s="396">
        <f t="shared" si="1"/>
        <v>0</v>
      </c>
    </row>
    <row r="93" spans="1:11" s="10" customFormat="1" ht="21.6" hidden="1" customHeight="1" x14ac:dyDescent="0.3">
      <c r="A93" s="30"/>
      <c r="B93" s="27"/>
      <c r="C93" s="19"/>
      <c r="D93" s="25"/>
      <c r="E93" s="68"/>
      <c r="F93" s="77"/>
      <c r="G93" s="29"/>
      <c r="H93" s="77"/>
      <c r="I93" s="31"/>
      <c r="J93" s="21"/>
      <c r="K93" s="396">
        <f t="shared" si="1"/>
        <v>0</v>
      </c>
    </row>
    <row r="94" spans="1:11" ht="15.6" x14ac:dyDescent="0.3">
      <c r="F94" s="388">
        <f>F77+F84</f>
        <v>175118735.73000002</v>
      </c>
      <c r="H94" s="386">
        <f ca="1">SUM(H3:H94)</f>
        <v>91193623.050000012</v>
      </c>
      <c r="K94" s="396" t="e">
        <f>#REF!-#REF!</f>
        <v>#REF!</v>
      </c>
    </row>
    <row r="95" spans="1:11" ht="15.6" x14ac:dyDescent="0.3">
      <c r="A95" s="336"/>
      <c r="B95" s="337"/>
      <c r="C95" s="338" t="s">
        <v>285</v>
      </c>
      <c r="D95" s="337"/>
      <c r="E95" s="336"/>
      <c r="F95" s="336"/>
      <c r="G95" s="336"/>
      <c r="H95" s="336"/>
      <c r="I95" s="336"/>
      <c r="J95" s="337"/>
      <c r="K95" s="396">
        <f ca="1">F94-H94</f>
        <v>69991522.680000007</v>
      </c>
    </row>
    <row r="96" spans="1:11" ht="30" x14ac:dyDescent="0.3">
      <c r="A96" s="32">
        <v>11</v>
      </c>
      <c r="B96" s="23" t="s">
        <v>173</v>
      </c>
      <c r="C96" s="195" t="s">
        <v>174</v>
      </c>
      <c r="D96" s="202" t="s">
        <v>148</v>
      </c>
      <c r="E96" s="195"/>
      <c r="F96" s="197">
        <v>2086240</v>
      </c>
      <c r="G96" s="198" t="s">
        <v>286</v>
      </c>
      <c r="H96" s="195"/>
      <c r="I96" s="195"/>
      <c r="K96" s="396">
        <f t="shared" si="1"/>
        <v>2086240</v>
      </c>
    </row>
    <row r="97" spans="1:15" s="10" customFormat="1" ht="21.6" customHeight="1" x14ac:dyDescent="0.3">
      <c r="A97" s="32">
        <v>12</v>
      </c>
      <c r="B97" s="23" t="s">
        <v>287</v>
      </c>
      <c r="C97" s="196" t="s">
        <v>20</v>
      </c>
      <c r="D97" s="202" t="s">
        <v>177</v>
      </c>
      <c r="E97" s="195"/>
      <c r="F97" s="197">
        <v>2500000</v>
      </c>
      <c r="G97" s="198" t="s">
        <v>290</v>
      </c>
      <c r="H97" s="197"/>
      <c r="I97" s="212" t="s">
        <v>153</v>
      </c>
      <c r="J97" s="237"/>
      <c r="K97" s="396">
        <f t="shared" si="1"/>
        <v>2500000</v>
      </c>
    </row>
    <row r="98" spans="1:15" s="10" customFormat="1" ht="21.6" customHeight="1" x14ac:dyDescent="0.3">
      <c r="A98" s="64"/>
      <c r="B98" s="62"/>
      <c r="C98" s="195" t="s">
        <v>16</v>
      </c>
      <c r="D98" s="202" t="s">
        <v>177</v>
      </c>
      <c r="E98" s="195"/>
      <c r="F98" s="197">
        <v>500000</v>
      </c>
      <c r="G98" s="198" t="s">
        <v>290</v>
      </c>
      <c r="H98" s="197"/>
      <c r="I98" s="212" t="s">
        <v>153</v>
      </c>
      <c r="J98" s="237"/>
      <c r="K98" s="396">
        <f t="shared" si="1"/>
        <v>500000</v>
      </c>
    </row>
    <row r="99" spans="1:15" s="10" customFormat="1" ht="21.6" customHeight="1" thickBot="1" x14ac:dyDescent="0.35">
      <c r="A99" s="64"/>
      <c r="B99" s="63"/>
      <c r="C99" s="59"/>
      <c r="D99" s="62"/>
      <c r="E99" s="64"/>
      <c r="F99" s="73">
        <f>SUM(F97:F98)</f>
        <v>3000000</v>
      </c>
      <c r="G99" s="65"/>
      <c r="H99" s="73"/>
      <c r="I99" s="65"/>
      <c r="J99" s="237"/>
      <c r="K99" s="396">
        <f t="shared" si="1"/>
        <v>3000000</v>
      </c>
    </row>
    <row r="100" spans="1:15" s="10" customFormat="1" ht="21.6" customHeight="1" thickBot="1" x14ac:dyDescent="0.35">
      <c r="A100" s="607">
        <v>13</v>
      </c>
      <c r="B100" s="112" t="s">
        <v>364</v>
      </c>
      <c r="C100" s="195" t="s">
        <v>179</v>
      </c>
      <c r="D100" s="210">
        <v>45775</v>
      </c>
      <c r="E100" s="195"/>
      <c r="F100" s="197">
        <v>39618000</v>
      </c>
      <c r="G100" s="198" t="s">
        <v>290</v>
      </c>
      <c r="H100" s="387">
        <f>F100</f>
        <v>39618000</v>
      </c>
      <c r="I100" s="212" t="s">
        <v>180</v>
      </c>
      <c r="J100" s="237"/>
      <c r="K100" s="396">
        <f t="shared" si="1"/>
        <v>0</v>
      </c>
      <c r="M100" s="423">
        <v>584792</v>
      </c>
      <c r="N100" s="424">
        <v>105262</v>
      </c>
      <c r="O100" s="424">
        <v>690054</v>
      </c>
    </row>
    <row r="101" spans="1:15" s="10" customFormat="1" ht="21" customHeight="1" thickBot="1" x14ac:dyDescent="0.35">
      <c r="A101" s="607"/>
      <c r="B101" s="112" t="s">
        <v>364</v>
      </c>
      <c r="C101" s="195" t="s">
        <v>181</v>
      </c>
      <c r="D101" s="210">
        <v>46167</v>
      </c>
      <c r="E101" s="195"/>
      <c r="F101" s="197">
        <v>15166000</v>
      </c>
      <c r="G101" s="198" t="s">
        <v>290</v>
      </c>
      <c r="H101" s="387">
        <f>F101</f>
        <v>15166000</v>
      </c>
      <c r="I101" s="212" t="s">
        <v>180</v>
      </c>
      <c r="J101" s="237"/>
      <c r="K101" s="396">
        <f t="shared" si="1"/>
        <v>0</v>
      </c>
      <c r="M101" s="425">
        <v>627800</v>
      </c>
      <c r="N101" s="426">
        <v>113004</v>
      </c>
      <c r="O101" s="426">
        <v>740804</v>
      </c>
    </row>
    <row r="102" spans="1:15" s="10" customFormat="1" ht="21.6" customHeight="1" thickBot="1" x14ac:dyDescent="0.35">
      <c r="A102" s="64"/>
      <c r="B102" s="112" t="s">
        <v>364</v>
      </c>
      <c r="C102" s="195" t="s">
        <v>291</v>
      </c>
      <c r="D102" s="210"/>
      <c r="E102" s="195"/>
      <c r="F102" s="197">
        <f>350000-350000</f>
        <v>0</v>
      </c>
      <c r="G102" s="195"/>
      <c r="H102" s="195"/>
      <c r="I102" s="195"/>
      <c r="J102" s="237"/>
      <c r="K102" s="396">
        <f t="shared" si="1"/>
        <v>0</v>
      </c>
      <c r="M102" s="425">
        <v>652956</v>
      </c>
      <c r="N102" s="426">
        <v>117532</v>
      </c>
      <c r="O102" s="426">
        <v>704488</v>
      </c>
    </row>
    <row r="103" spans="1:15" s="10" customFormat="1" ht="21.6" customHeight="1" x14ac:dyDescent="0.3">
      <c r="A103" s="64"/>
      <c r="B103" s="27"/>
      <c r="C103" s="195"/>
      <c r="D103" s="210"/>
      <c r="E103" s="195"/>
      <c r="F103" s="314">
        <f>SUM(F100:F102)</f>
        <v>54784000</v>
      </c>
      <c r="G103" s="195"/>
      <c r="H103" s="195"/>
      <c r="I103" s="195"/>
      <c r="J103" s="237"/>
      <c r="K103" s="396">
        <f t="shared" si="1"/>
        <v>54784000</v>
      </c>
      <c r="M103" s="10">
        <f>SUM(M100:M102)</f>
        <v>1865548</v>
      </c>
      <c r="N103" s="10">
        <f t="shared" ref="N103:O103" si="3">SUM(N100:N102)</f>
        <v>335798</v>
      </c>
      <c r="O103" s="10">
        <f t="shared" si="3"/>
        <v>2135346</v>
      </c>
    </row>
    <row r="104" spans="1:15" s="10" customFormat="1" ht="21.6" customHeight="1" x14ac:dyDescent="0.3">
      <c r="A104" s="30"/>
      <c r="B104" s="249"/>
      <c r="C104" s="250"/>
      <c r="D104" s="251"/>
      <c r="E104" s="252"/>
      <c r="F104" s="253"/>
      <c r="G104" s="254"/>
      <c r="H104" s="253"/>
      <c r="I104" s="255"/>
      <c r="J104" s="237"/>
      <c r="K104" s="396">
        <f t="shared" si="1"/>
        <v>0</v>
      </c>
    </row>
    <row r="105" spans="1:15" s="10" customFormat="1" ht="26.4" x14ac:dyDescent="0.3">
      <c r="A105" s="30">
        <v>14</v>
      </c>
      <c r="B105" s="166" t="s">
        <v>365</v>
      </c>
      <c r="C105" s="195">
        <v>878</v>
      </c>
      <c r="D105" s="230" t="s">
        <v>198</v>
      </c>
      <c r="E105" s="196"/>
      <c r="F105" s="197">
        <v>3562329</v>
      </c>
      <c r="G105" s="198"/>
      <c r="H105" s="197"/>
      <c r="I105" s="198"/>
      <c r="J105" s="202" t="s">
        <v>200</v>
      </c>
      <c r="K105" s="396">
        <f t="shared" ref="K105:K118" si="4">F105-H105</f>
        <v>3562329</v>
      </c>
    </row>
    <row r="106" spans="1:15" s="10" customFormat="1" ht="24.9" customHeight="1" x14ac:dyDescent="0.3">
      <c r="A106" s="30"/>
      <c r="B106" s="27"/>
      <c r="C106" s="195" t="s">
        <v>201</v>
      </c>
      <c r="D106" s="421" t="s">
        <v>198</v>
      </c>
      <c r="E106" s="195"/>
      <c r="F106" s="201">
        <v>15000</v>
      </c>
      <c r="G106" s="195"/>
      <c r="H106" s="195"/>
      <c r="I106" s="195"/>
      <c r="J106" s="21"/>
      <c r="K106" s="396">
        <f t="shared" si="4"/>
        <v>15000</v>
      </c>
    </row>
    <row r="107" spans="1:15" s="10" customFormat="1" ht="15.6" x14ac:dyDescent="0.3">
      <c r="A107" s="30"/>
      <c r="B107" s="27"/>
      <c r="C107" s="195"/>
      <c r="D107" s="195"/>
      <c r="E107" s="195"/>
      <c r="F107" s="201"/>
      <c r="G107" s="198"/>
      <c r="H107" s="195"/>
      <c r="I107" s="195"/>
      <c r="J107" s="21"/>
      <c r="K107" s="396">
        <f t="shared" si="4"/>
        <v>0</v>
      </c>
    </row>
    <row r="108" spans="1:15" ht="15.6" x14ac:dyDescent="0.3">
      <c r="A108" s="85">
        <v>15</v>
      </c>
      <c r="B108" s="348" t="s">
        <v>366</v>
      </c>
      <c r="C108" s="198" t="s">
        <v>203</v>
      </c>
      <c r="D108" s="198"/>
      <c r="E108" s="198"/>
      <c r="F108" s="390">
        <f>955800+955800+955800</f>
        <v>2867400</v>
      </c>
      <c r="G108" s="198"/>
      <c r="H108" s="198"/>
      <c r="I108" s="198"/>
      <c r="J108" s="84"/>
      <c r="K108" s="396">
        <f t="shared" si="4"/>
        <v>2867400</v>
      </c>
    </row>
    <row r="109" spans="1:15" ht="15.6" x14ac:dyDescent="0.3">
      <c r="A109" s="85">
        <v>16</v>
      </c>
      <c r="B109" s="348" t="s">
        <v>367</v>
      </c>
      <c r="C109" s="198" t="s">
        <v>206</v>
      </c>
      <c r="D109" s="198"/>
      <c r="E109" s="198"/>
      <c r="F109" s="390">
        <f>68833+68833</f>
        <v>137666</v>
      </c>
      <c r="G109" s="198"/>
      <c r="H109" s="198"/>
      <c r="I109" s="198"/>
      <c r="J109" s="84"/>
      <c r="K109" s="396">
        <f t="shared" si="4"/>
        <v>137666</v>
      </c>
    </row>
    <row r="110" spans="1:15" ht="15.6" x14ac:dyDescent="0.3">
      <c r="A110" s="85">
        <v>17</v>
      </c>
      <c r="B110" s="348" t="s">
        <v>210</v>
      </c>
      <c r="C110" s="198"/>
      <c r="D110" s="198"/>
      <c r="E110" s="198"/>
      <c r="F110" s="390">
        <f>25146</f>
        <v>25146</v>
      </c>
      <c r="G110" s="198"/>
      <c r="H110" s="198"/>
      <c r="I110" s="198"/>
      <c r="J110" s="84"/>
      <c r="K110" s="396">
        <f t="shared" si="4"/>
        <v>25146</v>
      </c>
    </row>
    <row r="111" spans="1:15" ht="15.6" x14ac:dyDescent="0.3">
      <c r="A111" s="85"/>
      <c r="B111" s="348"/>
      <c r="C111" s="198"/>
      <c r="D111" s="198"/>
      <c r="E111" s="198"/>
      <c r="F111" s="198"/>
      <c r="G111" s="198"/>
      <c r="H111" s="198"/>
      <c r="I111" s="198"/>
      <c r="J111" s="84"/>
      <c r="K111" s="396">
        <f t="shared" si="4"/>
        <v>0</v>
      </c>
    </row>
    <row r="112" spans="1:15" ht="15.6" x14ac:dyDescent="0.3">
      <c r="A112" s="85"/>
      <c r="B112" s="348"/>
      <c r="C112" s="198"/>
      <c r="D112" s="198"/>
      <c r="E112" s="198"/>
      <c r="F112" s="198"/>
      <c r="G112" s="198"/>
      <c r="H112" s="198"/>
      <c r="I112" s="198"/>
      <c r="J112" s="84"/>
      <c r="K112" s="396">
        <f t="shared" si="4"/>
        <v>0</v>
      </c>
    </row>
    <row r="113" spans="1:11" ht="15.6" x14ac:dyDescent="0.3">
      <c r="A113" s="85"/>
      <c r="B113" s="348"/>
      <c r="C113" s="195"/>
      <c r="D113" s="195"/>
      <c r="E113" s="195"/>
      <c r="F113" s="195"/>
      <c r="G113" s="195"/>
      <c r="H113" s="195"/>
      <c r="I113" s="195"/>
      <c r="J113" s="84"/>
      <c r="K113" s="396">
        <f t="shared" si="4"/>
        <v>0</v>
      </c>
    </row>
    <row r="114" spans="1:11" s="10" customFormat="1" ht="37.5" customHeight="1" x14ac:dyDescent="0.3">
      <c r="A114" s="32">
        <v>18</v>
      </c>
      <c r="B114" s="23" t="s">
        <v>298</v>
      </c>
      <c r="C114" s="34"/>
      <c r="D114" s="34"/>
      <c r="E114" s="32"/>
      <c r="F114" s="76"/>
      <c r="G114" s="33"/>
      <c r="H114" s="76"/>
      <c r="I114" s="33"/>
      <c r="J114" s="34"/>
      <c r="K114" s="396">
        <f t="shared" si="4"/>
        <v>0</v>
      </c>
    </row>
    <row r="115" spans="1:11" s="10" customFormat="1" ht="24.9" customHeight="1" x14ac:dyDescent="0.3">
      <c r="A115" s="30">
        <v>19</v>
      </c>
      <c r="B115" s="27" t="s">
        <v>211</v>
      </c>
      <c r="C115" s="195" t="s">
        <v>368</v>
      </c>
      <c r="D115" s="202"/>
      <c r="E115" s="195"/>
      <c r="F115" s="195">
        <f>1956000</f>
        <v>1956000</v>
      </c>
      <c r="G115" s="198"/>
      <c r="H115" s="197"/>
      <c r="I115" s="198"/>
      <c r="J115" s="202"/>
      <c r="K115" s="396">
        <f t="shared" si="4"/>
        <v>1956000</v>
      </c>
    </row>
    <row r="116" spans="1:11" ht="15.6" thickBot="1" x14ac:dyDescent="0.35">
      <c r="K116" s="396">
        <f t="shared" si="4"/>
        <v>0</v>
      </c>
    </row>
    <row r="117" spans="1:11" s="266" customFormat="1" ht="26.1" customHeight="1" thickBot="1" x14ac:dyDescent="0.35">
      <c r="A117" s="267"/>
      <c r="B117" s="268"/>
      <c r="C117" s="268"/>
      <c r="D117" s="268"/>
      <c r="E117" s="269"/>
      <c r="F117" s="389">
        <f>F94+F99+F105+F108+F109+F110+F115+F103</f>
        <v>241451276.73000002</v>
      </c>
      <c r="G117" s="269"/>
      <c r="H117" s="269"/>
      <c r="I117" s="269"/>
      <c r="J117" s="268"/>
      <c r="K117" s="396">
        <f t="shared" si="4"/>
        <v>241451276.73000002</v>
      </c>
    </row>
    <row r="118" spans="1:11" x14ac:dyDescent="0.3">
      <c r="K118" s="396">
        <f t="shared" si="4"/>
        <v>0</v>
      </c>
    </row>
    <row r="119" spans="1:11" ht="21" x14ac:dyDescent="0.3">
      <c r="A119" s="342"/>
      <c r="B119" s="595" t="s">
        <v>212</v>
      </c>
      <c r="C119" s="595"/>
      <c r="D119" s="595"/>
      <c r="E119" s="595"/>
      <c r="F119" s="595"/>
      <c r="G119" s="595"/>
      <c r="H119" s="595"/>
      <c r="I119" s="363"/>
      <c r="J119" s="364"/>
    </row>
    <row r="120" spans="1:11" ht="63" x14ac:dyDescent="0.3">
      <c r="A120" s="342" t="s">
        <v>213</v>
      </c>
      <c r="B120" s="343" t="s">
        <v>214</v>
      </c>
      <c r="C120" s="343" t="s">
        <v>215</v>
      </c>
      <c r="D120" s="343" t="s">
        <v>216</v>
      </c>
      <c r="E120" s="343" t="s">
        <v>217</v>
      </c>
      <c r="F120" s="343" t="s">
        <v>218</v>
      </c>
      <c r="G120" s="343" t="s">
        <v>219</v>
      </c>
      <c r="H120" s="343" t="s">
        <v>220</v>
      </c>
      <c r="I120" s="596" t="s">
        <v>221</v>
      </c>
      <c r="J120" s="597"/>
    </row>
    <row r="121" spans="1:11" ht="21" x14ac:dyDescent="0.3">
      <c r="A121" s="344">
        <v>1</v>
      </c>
      <c r="B121" s="344">
        <v>2</v>
      </c>
      <c r="C121" s="344">
        <v>3</v>
      </c>
      <c r="D121" s="344">
        <v>4</v>
      </c>
      <c r="E121" s="370">
        <v>5</v>
      </c>
      <c r="F121" s="370">
        <v>6</v>
      </c>
      <c r="G121" s="370">
        <v>7</v>
      </c>
      <c r="H121" s="359">
        <v>8</v>
      </c>
      <c r="I121" s="377" t="s">
        <v>299</v>
      </c>
      <c r="J121" s="378"/>
    </row>
    <row r="122" spans="1:11" ht="21" x14ac:dyDescent="0.3">
      <c r="A122" s="343">
        <v>1</v>
      </c>
      <c r="B122" s="595" t="s">
        <v>225</v>
      </c>
      <c r="C122" s="593" t="s">
        <v>226</v>
      </c>
      <c r="D122" s="593"/>
      <c r="E122" s="371"/>
      <c r="F122" s="371"/>
      <c r="G122" s="371"/>
      <c r="H122" s="360">
        <f t="shared" ref="H122:H135" si="5">SUM(E122:G122)</f>
        <v>0</v>
      </c>
      <c r="I122" s="379"/>
      <c r="J122" s="380"/>
    </row>
    <row r="123" spans="1:11" ht="21" x14ac:dyDescent="0.3">
      <c r="A123" s="343">
        <v>2</v>
      </c>
      <c r="B123" s="595"/>
      <c r="C123" s="593" t="s">
        <v>227</v>
      </c>
      <c r="D123" s="593"/>
      <c r="E123" s="371"/>
      <c r="F123" s="371"/>
      <c r="G123" s="372" t="e">
        <f>#REF!</f>
        <v>#REF!</v>
      </c>
      <c r="H123" s="360" t="e">
        <f t="shared" si="5"/>
        <v>#REF!</v>
      </c>
      <c r="I123" s="379"/>
      <c r="J123" s="380"/>
    </row>
    <row r="124" spans="1:11" ht="21" x14ac:dyDescent="0.3">
      <c r="A124" s="343">
        <v>3</v>
      </c>
      <c r="B124" s="595"/>
      <c r="C124" s="593" t="s">
        <v>229</v>
      </c>
      <c r="D124" s="593"/>
      <c r="E124" s="372" t="e">
        <f>#REF!</f>
        <v>#REF!</v>
      </c>
      <c r="F124" s="372" t="e">
        <f>#REF!</f>
        <v>#REF!</v>
      </c>
      <c r="G124" s="372" t="e">
        <f>#REF!</f>
        <v>#REF!</v>
      </c>
      <c r="H124" s="361" t="e">
        <f>SUM(E124:G124)</f>
        <v>#REF!</v>
      </c>
      <c r="I124" s="381" t="e">
        <f>(' DEMAND'!D7*1000)-STATUS!E124</f>
        <v>#REF!</v>
      </c>
      <c r="J124" s="381"/>
    </row>
    <row r="125" spans="1:11" ht="21" x14ac:dyDescent="0.3">
      <c r="A125" s="343">
        <v>4</v>
      </c>
      <c r="B125" s="595"/>
      <c r="C125" s="593" t="s">
        <v>230</v>
      </c>
      <c r="D125" s="593"/>
      <c r="E125" s="373"/>
      <c r="F125" s="371"/>
      <c r="G125" s="371"/>
      <c r="H125" s="360">
        <f t="shared" si="5"/>
        <v>0</v>
      </c>
      <c r="I125" s="381"/>
      <c r="J125" s="381"/>
    </row>
    <row r="126" spans="1:11" ht="21" x14ac:dyDescent="0.3">
      <c r="A126" s="343">
        <v>5</v>
      </c>
      <c r="B126" s="595"/>
      <c r="C126" s="593" t="s">
        <v>231</v>
      </c>
      <c r="D126" s="593"/>
      <c r="E126" s="371"/>
      <c r="F126" s="371"/>
      <c r="G126" s="372" t="e">
        <f>#REF!</f>
        <v>#REF!</v>
      </c>
      <c r="H126" s="360" t="e">
        <f t="shared" si="5"/>
        <v>#REF!</v>
      </c>
      <c r="I126" s="381"/>
      <c r="J126" s="381"/>
    </row>
    <row r="127" spans="1:11" ht="21" x14ac:dyDescent="0.3">
      <c r="A127" s="343">
        <v>6</v>
      </c>
      <c r="B127" s="595"/>
      <c r="C127" s="593" t="s">
        <v>232</v>
      </c>
      <c r="D127" s="593"/>
      <c r="E127" s="371"/>
      <c r="F127" s="371"/>
      <c r="G127" s="372" t="e">
        <f>#REF!</f>
        <v>#REF!</v>
      </c>
      <c r="H127" s="360" t="e">
        <f t="shared" si="5"/>
        <v>#REF!</v>
      </c>
      <c r="I127" s="381"/>
      <c r="J127" s="381"/>
    </row>
    <row r="128" spans="1:11" ht="21" x14ac:dyDescent="0.3">
      <c r="A128" s="343">
        <v>7</v>
      </c>
      <c r="B128" s="595"/>
      <c r="C128" s="593" t="s">
        <v>233</v>
      </c>
      <c r="D128" s="593"/>
      <c r="E128" s="371"/>
      <c r="F128" s="371"/>
      <c r="G128" s="371"/>
      <c r="H128" s="360">
        <f t="shared" si="5"/>
        <v>0</v>
      </c>
      <c r="I128" s="381"/>
      <c r="J128" s="381"/>
    </row>
    <row r="129" spans="1:10" ht="21" x14ac:dyDescent="0.3">
      <c r="A129" s="343">
        <v>8</v>
      </c>
      <c r="B129" s="595"/>
      <c r="C129" s="593" t="s">
        <v>234</v>
      </c>
      <c r="D129" s="593"/>
      <c r="E129" s="371"/>
      <c r="F129" s="371"/>
      <c r="G129" s="372" t="e">
        <f>#REF!</f>
        <v>#REF!</v>
      </c>
      <c r="H129" s="360" t="e">
        <f t="shared" si="5"/>
        <v>#REF!</v>
      </c>
      <c r="I129" s="381"/>
      <c r="J129" s="381"/>
    </row>
    <row r="130" spans="1:10" ht="21" x14ac:dyDescent="0.3">
      <c r="A130" s="343">
        <v>9</v>
      </c>
      <c r="B130" s="595"/>
      <c r="C130" s="593" t="s">
        <v>235</v>
      </c>
      <c r="D130" s="593"/>
      <c r="E130" s="371"/>
      <c r="F130" s="371"/>
      <c r="G130" s="371"/>
      <c r="H130" s="360">
        <f t="shared" si="5"/>
        <v>0</v>
      </c>
      <c r="I130" s="381"/>
      <c r="J130" s="381"/>
    </row>
    <row r="131" spans="1:10" ht="21" x14ac:dyDescent="0.3">
      <c r="A131" s="343">
        <v>10</v>
      </c>
      <c r="B131" s="595"/>
      <c r="C131" s="593" t="s">
        <v>236</v>
      </c>
      <c r="D131" s="593"/>
      <c r="E131" s="371"/>
      <c r="F131" s="371"/>
      <c r="G131" s="371"/>
      <c r="H131" s="360">
        <f t="shared" si="5"/>
        <v>0</v>
      </c>
      <c r="I131" s="381"/>
      <c r="J131" s="381"/>
    </row>
    <row r="132" spans="1:10" ht="21" x14ac:dyDescent="0.3">
      <c r="A132" s="343">
        <v>11</v>
      </c>
      <c r="B132" s="595"/>
      <c r="C132" s="593" t="s">
        <v>237</v>
      </c>
      <c r="D132" s="593"/>
      <c r="E132" s="372" t="e">
        <f>#REF!</f>
        <v>#REF!</v>
      </c>
      <c r="F132" s="372" t="e">
        <f>#REF!</f>
        <v>#REF!</v>
      </c>
      <c r="G132" s="372" t="e">
        <f>#REF!</f>
        <v>#REF!</v>
      </c>
      <c r="H132" s="360" t="e">
        <f t="shared" si="5"/>
        <v>#REF!</v>
      </c>
      <c r="I132" s="381"/>
      <c r="J132" s="381"/>
    </row>
    <row r="133" spans="1:10" ht="21" x14ac:dyDescent="0.3">
      <c r="A133" s="343"/>
      <c r="B133" s="595"/>
      <c r="C133" s="593" t="s">
        <v>238</v>
      </c>
      <c r="D133" s="593"/>
      <c r="E133" s="371"/>
      <c r="F133" s="371"/>
      <c r="G133" s="372" t="e">
        <f>#REF!</f>
        <v>#REF!</v>
      </c>
      <c r="H133" s="360" t="e">
        <f t="shared" si="5"/>
        <v>#REF!</v>
      </c>
      <c r="I133" s="381"/>
      <c r="J133" s="381"/>
    </row>
    <row r="134" spans="1:10" ht="21" x14ac:dyDescent="0.3">
      <c r="A134" s="343">
        <v>12</v>
      </c>
      <c r="B134" s="595"/>
      <c r="C134" s="593" t="s">
        <v>239</v>
      </c>
      <c r="D134" s="593"/>
      <c r="E134" s="371"/>
      <c r="F134" s="371"/>
      <c r="G134" s="372" t="e">
        <f>#REF!</f>
        <v>#REF!</v>
      </c>
      <c r="H134" s="360" t="e">
        <f t="shared" si="5"/>
        <v>#REF!</v>
      </c>
      <c r="I134" s="381"/>
      <c r="J134" s="381"/>
    </row>
    <row r="135" spans="1:10" ht="42" customHeight="1" x14ac:dyDescent="0.3">
      <c r="A135" s="343">
        <v>13</v>
      </c>
      <c r="B135" s="595"/>
      <c r="C135" s="593" t="s">
        <v>240</v>
      </c>
      <c r="D135" s="593"/>
      <c r="E135" s="374"/>
      <c r="F135" s="371"/>
      <c r="G135" s="372" t="e">
        <f>#REF!</f>
        <v>#REF!</v>
      </c>
      <c r="H135" s="360" t="e">
        <f t="shared" si="5"/>
        <v>#REF!</v>
      </c>
      <c r="I135" s="381"/>
      <c r="J135" s="381"/>
    </row>
    <row r="136" spans="1:10" ht="21" x14ac:dyDescent="0.3">
      <c r="A136" s="343"/>
      <c r="B136" s="343"/>
      <c r="C136" s="591" t="s">
        <v>220</v>
      </c>
      <c r="D136" s="592"/>
      <c r="E136" s="375" t="e">
        <f>SUM(E122:E135)</f>
        <v>#REF!</v>
      </c>
      <c r="F136" s="375" t="e">
        <f t="shared" ref="F136:H136" si="6">SUM(F122:F135)</f>
        <v>#REF!</v>
      </c>
      <c r="G136" s="376" t="e">
        <f t="shared" si="6"/>
        <v>#REF!</v>
      </c>
      <c r="H136" s="362" t="e">
        <f t="shared" si="6"/>
        <v>#REF!</v>
      </c>
      <c r="I136" s="379"/>
      <c r="J136" s="380"/>
    </row>
    <row r="138" spans="1:10" x14ac:dyDescent="0.3">
      <c r="B138" s="5" t="s">
        <v>243</v>
      </c>
      <c r="C138" s="5" t="s">
        <v>244</v>
      </c>
      <c r="D138" s="5" t="s">
        <v>245</v>
      </c>
      <c r="E138" s="4" t="s">
        <v>246</v>
      </c>
      <c r="F138" s="4">
        <v>481591</v>
      </c>
      <c r="G138" s="4" t="s">
        <v>247</v>
      </c>
    </row>
    <row r="139" spans="1:10" x14ac:dyDescent="0.3">
      <c r="C139" s="5" t="s">
        <v>244</v>
      </c>
      <c r="D139" s="5" t="s">
        <v>245</v>
      </c>
      <c r="E139" s="4" t="s">
        <v>248</v>
      </c>
      <c r="F139" s="4">
        <v>240796</v>
      </c>
      <c r="G139" s="4" t="s">
        <v>247</v>
      </c>
    </row>
  </sheetData>
  <mergeCells count="23">
    <mergeCell ref="C136:D136"/>
    <mergeCell ref="C130:D130"/>
    <mergeCell ref="C132:D132"/>
    <mergeCell ref="C133:D133"/>
    <mergeCell ref="C134:D134"/>
    <mergeCell ref="C135:D135"/>
    <mergeCell ref="C131:D131"/>
    <mergeCell ref="A1:G1"/>
    <mergeCell ref="J6:J7"/>
    <mergeCell ref="B122:B135"/>
    <mergeCell ref="C122:D122"/>
    <mergeCell ref="C123:D123"/>
    <mergeCell ref="C124:D124"/>
    <mergeCell ref="C125:D125"/>
    <mergeCell ref="C126:D126"/>
    <mergeCell ref="C127:D127"/>
    <mergeCell ref="C128:D128"/>
    <mergeCell ref="C129:D129"/>
    <mergeCell ref="J80:J83"/>
    <mergeCell ref="A100:A101"/>
    <mergeCell ref="B119:H119"/>
    <mergeCell ref="I120:J120"/>
    <mergeCell ref="A80:A83"/>
  </mergeCells>
  <printOptions horizontalCentered="1" verticalCentered="1"/>
  <pageMargins left="0.23622047244094491" right="0.27559055118110237" top="0.31496062992125984" bottom="0.11811023622047245" header="0.31496062992125984" footer="0.31496062992125984"/>
  <pageSetup scale="80" fitToHeight="0" orientation="landscape" r:id="rId1"/>
  <rowBreaks count="1" manualBreakCount="1">
    <brk id="77" max="8" man="1"/>
  </rowBreaks>
  <colBreaks count="1" manualBreakCount="1">
    <brk id="7" max="72"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71BF-67C6-4142-AC00-F62FC2E12E8A}">
  <sheetPr>
    <tabColor rgb="FF00B050"/>
    <pageSetUpPr fitToPage="1"/>
  </sheetPr>
  <dimension ref="A1:W159"/>
  <sheetViews>
    <sheetView view="pageBreakPreview" zoomScale="85" zoomScaleNormal="60" zoomScaleSheetLayoutView="85" workbookViewId="0">
      <pane xSplit="2" ySplit="2" topLeftCell="C120" activePane="bottomRight" state="frozen"/>
      <selection pane="topRight" activeCell="C1" sqref="C1"/>
      <selection pane="bottomLeft" activeCell="A3" sqref="A3"/>
      <selection pane="bottomRight" activeCell="K133" sqref="K133"/>
    </sheetView>
  </sheetViews>
  <sheetFormatPr defaultColWidth="8.6640625" defaultRowHeight="15" x14ac:dyDescent="0.3"/>
  <cols>
    <col min="1" max="1" width="5.5546875" style="4" customWidth="1"/>
    <col min="2" max="2" width="29.44140625" style="5" customWidth="1"/>
    <col min="3" max="3" width="22.109375" style="5" customWidth="1"/>
    <col min="4" max="4" width="14.109375" style="5" customWidth="1"/>
    <col min="5" max="5" width="22" style="4" customWidth="1"/>
    <col min="6" max="6" width="17.5546875" style="4" customWidth="1"/>
    <col min="7" max="7" width="29.44140625" style="4" customWidth="1"/>
    <col min="8" max="8" width="16.88671875" style="4" customWidth="1"/>
    <col min="9" max="9" width="16" style="4" customWidth="1"/>
    <col min="10" max="10" width="110.88671875" style="5" hidden="1" customWidth="1"/>
    <col min="11" max="11" width="16.6640625" style="307" bestFit="1" customWidth="1"/>
    <col min="12" max="12" width="15" style="5" customWidth="1"/>
    <col min="13" max="13" width="15.44140625" style="583" customWidth="1"/>
    <col min="14" max="14" width="17.5546875" style="5" customWidth="1"/>
    <col min="15" max="23" width="12.109375" style="5" customWidth="1"/>
    <col min="24" max="16384" width="8.6640625" style="5"/>
  </cols>
  <sheetData>
    <row r="1" spans="1:23" ht="17.399999999999999" x14ac:dyDescent="0.3">
      <c r="A1" s="611" t="s">
        <v>369</v>
      </c>
      <c r="B1" s="612"/>
      <c r="C1" s="612"/>
      <c r="D1" s="612"/>
      <c r="E1" s="612"/>
      <c r="F1" s="612"/>
      <c r="G1" s="613"/>
      <c r="H1" s="265"/>
      <c r="I1" s="265"/>
      <c r="J1" s="265"/>
      <c r="K1" s="602" t="s">
        <v>1</v>
      </c>
      <c r="L1" s="602"/>
      <c r="M1" s="602" t="s">
        <v>2</v>
      </c>
      <c r="N1" s="602"/>
      <c r="O1" s="602" t="s">
        <v>3</v>
      </c>
      <c r="P1" s="602"/>
      <c r="Q1" s="602"/>
      <c r="R1" s="602"/>
      <c r="S1" s="602"/>
      <c r="T1" s="602"/>
      <c r="U1" s="602"/>
      <c r="V1" s="602"/>
      <c r="W1" s="602"/>
    </row>
    <row r="2" spans="1:23" s="10" customFormat="1" ht="42.6" customHeight="1" x14ac:dyDescent="0.3">
      <c r="A2" s="18" t="s">
        <v>4</v>
      </c>
      <c r="B2" s="57" t="s">
        <v>5</v>
      </c>
      <c r="C2" s="58" t="s">
        <v>6</v>
      </c>
      <c r="D2" s="58" t="s">
        <v>7</v>
      </c>
      <c r="E2" s="58" t="s">
        <v>8</v>
      </c>
      <c r="F2" s="58" t="s">
        <v>301</v>
      </c>
      <c r="G2" s="58" t="s">
        <v>10</v>
      </c>
      <c r="H2" s="58" t="s">
        <v>254</v>
      </c>
      <c r="I2" s="58" t="s">
        <v>13</v>
      </c>
      <c r="J2" s="58" t="s">
        <v>14</v>
      </c>
      <c r="K2" s="305" t="s">
        <v>15</v>
      </c>
      <c r="L2" s="58" t="s">
        <v>16</v>
      </c>
      <c r="M2" s="579" t="s">
        <v>15</v>
      </c>
      <c r="N2" s="58" t="s">
        <v>16</v>
      </c>
      <c r="O2" s="58" t="s">
        <v>17</v>
      </c>
      <c r="P2" s="58" t="s">
        <v>15</v>
      </c>
      <c r="Q2" s="58" t="s">
        <v>18</v>
      </c>
      <c r="R2" s="58" t="s">
        <v>19</v>
      </c>
      <c r="S2" s="58" t="s">
        <v>20</v>
      </c>
      <c r="T2" s="58" t="s">
        <v>16</v>
      </c>
      <c r="U2" s="58" t="s">
        <v>21</v>
      </c>
      <c r="V2" s="58" t="s">
        <v>22</v>
      </c>
      <c r="W2" s="58" t="s">
        <v>23</v>
      </c>
    </row>
    <row r="3" spans="1:23" ht="24.75" customHeight="1" x14ac:dyDescent="0.3">
      <c r="A3" s="30">
        <v>1</v>
      </c>
      <c r="B3" s="608" t="s">
        <v>370</v>
      </c>
      <c r="C3" s="195" t="s">
        <v>25</v>
      </c>
      <c r="D3" s="195" t="s">
        <v>26</v>
      </c>
      <c r="E3" s="195" t="s">
        <v>27</v>
      </c>
      <c r="F3" s="201">
        <v>3657952</v>
      </c>
      <c r="G3" s="435" t="s">
        <v>28</v>
      </c>
      <c r="H3" s="201">
        <v>3657952</v>
      </c>
      <c r="I3" s="198"/>
      <c r="J3" s="143"/>
      <c r="K3" s="564"/>
      <c r="L3" s="72"/>
      <c r="M3" s="580">
        <f>H3</f>
        <v>3657952</v>
      </c>
      <c r="N3" s="72"/>
      <c r="O3" s="72"/>
      <c r="P3" s="72"/>
      <c r="Q3" s="72"/>
      <c r="R3" s="72"/>
      <c r="S3" s="72"/>
      <c r="T3" s="72"/>
      <c r="U3" s="72"/>
      <c r="V3" s="72"/>
      <c r="W3" s="72"/>
    </row>
    <row r="4" spans="1:23" ht="24.75" customHeight="1" x14ac:dyDescent="0.3">
      <c r="A4" s="30"/>
      <c r="B4" s="610"/>
      <c r="C4" s="195" t="s">
        <v>29</v>
      </c>
      <c r="D4" s="200">
        <v>46184</v>
      </c>
      <c r="E4" s="196" t="s">
        <v>30</v>
      </c>
      <c r="F4" s="394">
        <v>1024240</v>
      </c>
      <c r="G4" s="198" t="s">
        <v>34</v>
      </c>
      <c r="H4" s="331">
        <v>970255</v>
      </c>
      <c r="I4" s="198" t="s">
        <v>31</v>
      </c>
      <c r="J4" s="143"/>
      <c r="K4" s="565">
        <f>H4</f>
        <v>970255</v>
      </c>
      <c r="L4" s="72"/>
      <c r="M4" s="580"/>
      <c r="N4" s="72"/>
      <c r="O4" s="72"/>
      <c r="P4" s="72"/>
      <c r="Q4" s="72"/>
      <c r="R4" s="72"/>
      <c r="S4" s="72"/>
      <c r="T4" s="72"/>
      <c r="U4" s="72"/>
      <c r="V4" s="72"/>
      <c r="W4" s="72"/>
    </row>
    <row r="5" spans="1:23" ht="21" customHeight="1" x14ac:dyDescent="0.3">
      <c r="A5" s="30"/>
      <c r="B5" s="112"/>
      <c r="C5" s="143"/>
      <c r="D5" s="143"/>
      <c r="E5" s="228" t="s">
        <v>306</v>
      </c>
      <c r="F5" s="146">
        <f>SUM(F3:F4)</f>
        <v>4682192</v>
      </c>
      <c r="G5" s="273"/>
      <c r="H5" s="272"/>
      <c r="I5" s="273"/>
      <c r="J5" s="143"/>
      <c r="K5" s="564"/>
      <c r="L5" s="72"/>
      <c r="M5" s="580"/>
      <c r="N5" s="72"/>
      <c r="O5" s="72"/>
      <c r="P5" s="72"/>
      <c r="Q5" s="72"/>
      <c r="R5" s="72"/>
      <c r="S5" s="72"/>
      <c r="T5" s="72"/>
      <c r="U5" s="72"/>
      <c r="V5" s="72"/>
      <c r="W5" s="72"/>
    </row>
    <row r="6" spans="1:23" ht="18.899999999999999" customHeight="1" x14ac:dyDescent="0.3">
      <c r="A6" s="112">
        <v>2</v>
      </c>
      <c r="B6" s="112" t="s">
        <v>371</v>
      </c>
      <c r="C6" s="195" t="s">
        <v>33</v>
      </c>
      <c r="D6" s="200">
        <v>46160</v>
      </c>
      <c r="E6" s="196">
        <v>46023</v>
      </c>
      <c r="F6" s="201">
        <v>4633825</v>
      </c>
      <c r="G6" s="198" t="s">
        <v>34</v>
      </c>
      <c r="H6" s="201">
        <v>4633825</v>
      </c>
      <c r="I6" s="198" t="s">
        <v>35</v>
      </c>
      <c r="J6" s="603" t="s">
        <v>36</v>
      </c>
      <c r="K6" s="564"/>
      <c r="L6" s="72"/>
      <c r="M6" s="581">
        <f>H6</f>
        <v>4633825</v>
      </c>
      <c r="N6" s="72"/>
      <c r="O6" s="72"/>
      <c r="P6" s="72"/>
      <c r="Q6" s="72"/>
      <c r="R6" s="72"/>
      <c r="S6" s="72"/>
      <c r="T6" s="72"/>
      <c r="U6" s="72"/>
      <c r="V6" s="72"/>
      <c r="W6" s="72"/>
    </row>
    <row r="7" spans="1:23" ht="20.25" customHeight="1" x14ac:dyDescent="0.3">
      <c r="A7" s="112"/>
      <c r="B7" s="112" t="s">
        <v>371</v>
      </c>
      <c r="C7" s="195" t="s">
        <v>37</v>
      </c>
      <c r="D7" s="195" t="s">
        <v>38</v>
      </c>
      <c r="E7" s="196">
        <v>46054</v>
      </c>
      <c r="F7" s="197">
        <v>5067348</v>
      </c>
      <c r="G7" s="198" t="s">
        <v>34</v>
      </c>
      <c r="H7" s="197">
        <v>5067348</v>
      </c>
      <c r="I7" s="198" t="s">
        <v>35</v>
      </c>
      <c r="J7" s="603"/>
      <c r="K7" s="564"/>
      <c r="L7" s="72"/>
      <c r="M7" s="581">
        <f t="shared" ref="M7:M8" si="0">H7</f>
        <v>5067348</v>
      </c>
      <c r="N7" s="72"/>
      <c r="O7" s="72"/>
      <c r="P7" s="72"/>
      <c r="Q7" s="72"/>
      <c r="R7" s="72"/>
      <c r="S7" s="72"/>
      <c r="T7" s="72"/>
      <c r="U7" s="72"/>
      <c r="V7" s="72"/>
      <c r="W7" s="72"/>
    </row>
    <row r="8" spans="1:23" ht="21" customHeight="1" x14ac:dyDescent="0.3">
      <c r="A8" s="30"/>
      <c r="B8" s="112" t="s">
        <v>371</v>
      </c>
      <c r="C8" s="195" t="s">
        <v>39</v>
      </c>
      <c r="D8" s="195" t="s">
        <v>38</v>
      </c>
      <c r="E8" s="196">
        <v>46082</v>
      </c>
      <c r="F8" s="207">
        <v>5158115</v>
      </c>
      <c r="G8" s="198" t="s">
        <v>34</v>
      </c>
      <c r="H8" s="207">
        <v>5158115</v>
      </c>
      <c r="I8" s="198" t="s">
        <v>35</v>
      </c>
      <c r="J8" s="227"/>
      <c r="K8" s="564"/>
      <c r="L8" s="72"/>
      <c r="M8" s="581">
        <f t="shared" si="0"/>
        <v>5158115</v>
      </c>
      <c r="N8" s="72"/>
      <c r="O8" s="72"/>
      <c r="P8" s="72"/>
      <c r="Q8" s="72"/>
      <c r="R8" s="72"/>
      <c r="S8" s="72"/>
      <c r="T8" s="72"/>
      <c r="U8" s="72"/>
      <c r="V8" s="72"/>
      <c r="W8" s="72"/>
    </row>
    <row r="9" spans="1:23" ht="21" customHeight="1" x14ac:dyDescent="0.3">
      <c r="A9" s="30"/>
      <c r="B9" s="112" t="s">
        <v>371</v>
      </c>
      <c r="C9" s="204" t="s">
        <v>40</v>
      </c>
      <c r="D9" s="204" t="s">
        <v>41</v>
      </c>
      <c r="E9" s="206">
        <v>46113</v>
      </c>
      <c r="F9" s="207">
        <v>5334952</v>
      </c>
      <c r="G9" s="435" t="s">
        <v>28</v>
      </c>
      <c r="H9" s="207">
        <v>5334952</v>
      </c>
      <c r="I9" s="285"/>
      <c r="J9" s="227"/>
      <c r="K9" s="564"/>
      <c r="L9" s="72"/>
      <c r="M9" s="580" cm="1">
        <f t="array" ref="M9:P9">H9:K9</f>
        <v>5334952</v>
      </c>
      <c r="N9" s="72">
        <v>0</v>
      </c>
      <c r="O9" s="72">
        <v>0</v>
      </c>
      <c r="P9" s="72">
        <v>0</v>
      </c>
      <c r="Q9" s="72"/>
      <c r="R9" s="72"/>
      <c r="S9" s="72"/>
      <c r="T9" s="72"/>
      <c r="U9" s="72"/>
      <c r="V9" s="72"/>
      <c r="W9" s="72"/>
    </row>
    <row r="10" spans="1:23" ht="21" customHeight="1" x14ac:dyDescent="0.3">
      <c r="A10" s="30"/>
      <c r="B10" s="112" t="s">
        <v>371</v>
      </c>
      <c r="C10" s="312" t="s">
        <v>42</v>
      </c>
      <c r="D10" s="312" t="s">
        <v>43</v>
      </c>
      <c r="E10" s="335">
        <v>46143</v>
      </c>
      <c r="F10" s="317">
        <v>5175888</v>
      </c>
      <c r="G10" s="316" t="s">
        <v>44</v>
      </c>
      <c r="H10" s="207"/>
      <c r="I10" s="285"/>
      <c r="J10" s="227"/>
      <c r="K10" s="564"/>
      <c r="L10" s="72"/>
      <c r="M10" s="580">
        <f>F10</f>
        <v>5175888</v>
      </c>
      <c r="N10" s="72"/>
      <c r="O10" s="72"/>
      <c r="P10" s="72"/>
      <c r="Q10" s="72"/>
      <c r="R10" s="72"/>
      <c r="S10" s="72"/>
      <c r="T10" s="72"/>
      <c r="U10" s="72"/>
      <c r="V10" s="72"/>
      <c r="W10" s="72"/>
    </row>
    <row r="11" spans="1:23" ht="21" customHeight="1" x14ac:dyDescent="0.3">
      <c r="A11" s="30"/>
      <c r="B11" s="112" t="s">
        <v>371</v>
      </c>
      <c r="C11" s="312" t="s">
        <v>45</v>
      </c>
      <c r="D11" s="312" t="s">
        <v>43</v>
      </c>
      <c r="E11" s="335">
        <v>46174</v>
      </c>
      <c r="F11" s="317">
        <v>5087025</v>
      </c>
      <c r="G11" s="316" t="s">
        <v>44</v>
      </c>
      <c r="H11" s="207"/>
      <c r="I11" s="285"/>
      <c r="J11" s="227"/>
      <c r="K11" s="564"/>
      <c r="L11" s="72"/>
      <c r="M11" s="580">
        <f t="shared" ref="M11" si="1">F11</f>
        <v>5087025</v>
      </c>
      <c r="N11" s="72"/>
      <c r="O11" s="72"/>
      <c r="P11" s="72"/>
      <c r="Q11" s="72"/>
      <c r="R11" s="72"/>
      <c r="S11" s="72"/>
      <c r="T11" s="72"/>
      <c r="U11" s="72"/>
      <c r="V11" s="72"/>
      <c r="W11" s="72"/>
    </row>
    <row r="12" spans="1:23" ht="21" customHeight="1" x14ac:dyDescent="0.3">
      <c r="A12" s="30"/>
      <c r="B12" s="112" t="s">
        <v>371</v>
      </c>
      <c r="C12" s="204" t="s">
        <v>46</v>
      </c>
      <c r="D12" s="205">
        <v>46247</v>
      </c>
      <c r="E12" s="206" t="s">
        <v>47</v>
      </c>
      <c r="F12" s="207">
        <v>3431999</v>
      </c>
      <c r="G12" s="458" t="s">
        <v>48</v>
      </c>
      <c r="H12" s="207"/>
      <c r="I12" s="285"/>
      <c r="J12" s="227"/>
      <c r="K12" s="564">
        <f>F12</f>
        <v>3431999</v>
      </c>
      <c r="L12" s="72"/>
      <c r="M12" s="580"/>
      <c r="N12" s="72"/>
      <c r="O12" s="72"/>
      <c r="P12" s="72"/>
      <c r="Q12" s="72"/>
      <c r="R12" s="72"/>
      <c r="S12" s="72"/>
      <c r="T12" s="72"/>
      <c r="U12" s="72"/>
      <c r="V12" s="72"/>
      <c r="W12" s="72"/>
    </row>
    <row r="13" spans="1:23" ht="21" customHeight="1" x14ac:dyDescent="0.3">
      <c r="A13" s="30"/>
      <c r="B13" s="112" t="s">
        <v>371</v>
      </c>
      <c r="C13" s="204" t="s">
        <v>49</v>
      </c>
      <c r="D13" s="205">
        <v>46248</v>
      </c>
      <c r="E13" s="206" t="s">
        <v>50</v>
      </c>
      <c r="F13" s="207">
        <v>4290000</v>
      </c>
      <c r="G13" s="458" t="s">
        <v>48</v>
      </c>
      <c r="H13" s="207"/>
      <c r="I13" s="285"/>
      <c r="J13" s="227"/>
      <c r="K13" s="564">
        <f t="shared" ref="K13:K14" si="2">F13</f>
        <v>4290000</v>
      </c>
      <c r="L13" s="72"/>
      <c r="M13" s="580"/>
      <c r="N13" s="72"/>
      <c r="O13" s="72"/>
      <c r="P13" s="72"/>
      <c r="Q13" s="72"/>
      <c r="R13" s="72"/>
      <c r="S13" s="72"/>
      <c r="T13" s="72"/>
      <c r="U13" s="72"/>
      <c r="V13" s="72"/>
      <c r="W13" s="72"/>
    </row>
    <row r="14" spans="1:23" ht="21" customHeight="1" x14ac:dyDescent="0.3">
      <c r="A14" s="30"/>
      <c r="B14" s="112" t="s">
        <v>371</v>
      </c>
      <c r="C14" s="204" t="s">
        <v>51</v>
      </c>
      <c r="D14" s="205">
        <v>46252</v>
      </c>
      <c r="E14" s="206" t="s">
        <v>52</v>
      </c>
      <c r="F14" s="207">
        <v>10296000</v>
      </c>
      <c r="G14" s="458" t="s">
        <v>48</v>
      </c>
      <c r="H14" s="207"/>
      <c r="I14" s="285"/>
      <c r="J14" s="227"/>
      <c r="K14" s="564">
        <f t="shared" si="2"/>
        <v>10296000</v>
      </c>
      <c r="L14" s="72"/>
      <c r="M14" s="580"/>
      <c r="N14" s="72"/>
      <c r="O14" s="72"/>
      <c r="P14" s="72"/>
      <c r="Q14" s="72"/>
      <c r="R14" s="72"/>
      <c r="S14" s="72"/>
      <c r="T14" s="72"/>
      <c r="U14" s="72"/>
      <c r="V14" s="72"/>
      <c r="W14" s="72"/>
    </row>
    <row r="15" spans="1:23" ht="21" customHeight="1" x14ac:dyDescent="0.3">
      <c r="A15" s="30"/>
      <c r="B15" s="112"/>
      <c r="C15" s="275"/>
      <c r="D15" s="275"/>
      <c r="E15" s="228" t="s">
        <v>315</v>
      </c>
      <c r="F15" s="146">
        <f>SUM(F6:F14)</f>
        <v>48475152</v>
      </c>
      <c r="G15" s="281"/>
      <c r="H15" s="282"/>
      <c r="I15" s="281"/>
      <c r="J15" s="283"/>
      <c r="K15" s="160"/>
      <c r="L15" s="72"/>
      <c r="M15" s="580"/>
      <c r="N15" s="72"/>
      <c r="O15" s="72"/>
      <c r="P15" s="72"/>
      <c r="Q15" s="72"/>
      <c r="R15" s="72"/>
      <c r="S15" s="72"/>
      <c r="T15" s="72"/>
      <c r="U15" s="72"/>
      <c r="V15" s="72"/>
      <c r="W15" s="72"/>
    </row>
    <row r="16" spans="1:23" s="10" customFormat="1" ht="20.25" customHeight="1" x14ac:dyDescent="0.3">
      <c r="A16" s="30">
        <v>3</v>
      </c>
      <c r="B16" s="112" t="s">
        <v>316</v>
      </c>
      <c r="C16" s="311" t="s">
        <v>54</v>
      </c>
      <c r="D16" s="200">
        <v>46099</v>
      </c>
      <c r="E16" s="196" t="s">
        <v>55</v>
      </c>
      <c r="F16" s="207">
        <v>2512984</v>
      </c>
      <c r="G16" s="198" t="s">
        <v>34</v>
      </c>
      <c r="H16" s="207">
        <v>2512984</v>
      </c>
      <c r="I16" s="198" t="s">
        <v>56</v>
      </c>
      <c r="J16" s="236" t="s">
        <v>36</v>
      </c>
      <c r="K16" s="564">
        <f t="shared" ref="K16:K18" si="3">F16</f>
        <v>2512984</v>
      </c>
      <c r="L16" s="72"/>
      <c r="M16" s="580"/>
      <c r="N16" s="72"/>
      <c r="O16" s="72"/>
      <c r="P16" s="72"/>
      <c r="Q16" s="72"/>
      <c r="R16" s="72"/>
      <c r="S16" s="72"/>
      <c r="T16" s="72"/>
      <c r="U16" s="72"/>
      <c r="V16" s="72"/>
      <c r="W16" s="72"/>
    </row>
    <row r="17" spans="1:23" ht="20.25" customHeight="1" x14ac:dyDescent="0.3">
      <c r="A17" s="64"/>
      <c r="B17" s="112" t="s">
        <v>316</v>
      </c>
      <c r="C17" s="311" t="s">
        <v>57</v>
      </c>
      <c r="D17" s="200">
        <v>46099</v>
      </c>
      <c r="E17" s="196" t="s">
        <v>58</v>
      </c>
      <c r="F17" s="207">
        <v>2760750</v>
      </c>
      <c r="G17" s="198" t="s">
        <v>34</v>
      </c>
      <c r="H17" s="207">
        <v>2760750</v>
      </c>
      <c r="I17" s="198" t="s">
        <v>56</v>
      </c>
      <c r="J17" s="62"/>
      <c r="K17" s="564">
        <f t="shared" si="3"/>
        <v>2760750</v>
      </c>
      <c r="L17" s="72"/>
      <c r="M17" s="580"/>
      <c r="N17" s="72"/>
      <c r="O17" s="72"/>
      <c r="P17" s="72"/>
      <c r="Q17" s="72"/>
      <c r="R17" s="72"/>
      <c r="S17" s="72"/>
      <c r="T17" s="72"/>
      <c r="U17" s="72"/>
      <c r="V17" s="72"/>
      <c r="W17" s="72"/>
    </row>
    <row r="18" spans="1:23" ht="20.25" customHeight="1" x14ac:dyDescent="0.3">
      <c r="A18" s="64"/>
      <c r="B18" s="112" t="s">
        <v>316</v>
      </c>
      <c r="C18" s="311" t="s">
        <v>59</v>
      </c>
      <c r="D18" s="200">
        <v>46099</v>
      </c>
      <c r="E18" s="196" t="s">
        <v>60</v>
      </c>
      <c r="F18" s="207">
        <v>2681371</v>
      </c>
      <c r="G18" s="198" t="s">
        <v>34</v>
      </c>
      <c r="H18" s="207">
        <v>2681371</v>
      </c>
      <c r="I18" s="198" t="s">
        <v>56</v>
      </c>
      <c r="J18" s="62"/>
      <c r="K18" s="564">
        <f t="shared" si="3"/>
        <v>2681371</v>
      </c>
      <c r="L18" s="72"/>
      <c r="M18" s="580"/>
      <c r="N18" s="72"/>
      <c r="O18" s="72"/>
      <c r="P18" s="72"/>
      <c r="Q18" s="72"/>
      <c r="R18" s="72"/>
      <c r="S18" s="72"/>
      <c r="T18" s="72"/>
      <c r="U18" s="72"/>
      <c r="V18" s="72"/>
      <c r="W18" s="72"/>
    </row>
    <row r="19" spans="1:23" ht="20.25" customHeight="1" x14ac:dyDescent="0.3">
      <c r="A19" s="64"/>
      <c r="B19" s="112" t="s">
        <v>316</v>
      </c>
      <c r="C19" s="315" t="s">
        <v>61</v>
      </c>
      <c r="D19" s="200">
        <v>46150</v>
      </c>
      <c r="E19" s="196">
        <v>46023</v>
      </c>
      <c r="F19" s="197">
        <v>2610484</v>
      </c>
      <c r="G19" s="434" t="s">
        <v>62</v>
      </c>
      <c r="H19" s="197">
        <v>2610484</v>
      </c>
      <c r="I19" s="313"/>
      <c r="J19" s="62"/>
      <c r="K19" s="564">
        <f>H19</f>
        <v>2610484</v>
      </c>
      <c r="L19" s="72"/>
      <c r="M19" s="580"/>
      <c r="N19" s="72"/>
      <c r="O19" s="72"/>
      <c r="P19" s="72"/>
      <c r="Q19" s="72"/>
      <c r="R19" s="72"/>
      <c r="S19" s="72"/>
      <c r="T19" s="72"/>
      <c r="U19" s="72"/>
      <c r="V19" s="72"/>
      <c r="W19" s="72"/>
    </row>
    <row r="20" spans="1:23" ht="20.25" customHeight="1" x14ac:dyDescent="0.3">
      <c r="A20" s="64"/>
      <c r="B20" s="112" t="s">
        <v>316</v>
      </c>
      <c r="C20" s="315" t="s">
        <v>63</v>
      </c>
      <c r="D20" s="200">
        <v>46150</v>
      </c>
      <c r="E20" s="196">
        <v>46054</v>
      </c>
      <c r="F20" s="197">
        <v>2475000</v>
      </c>
      <c r="G20" s="434" t="s">
        <v>62</v>
      </c>
      <c r="H20" s="197">
        <v>2475000</v>
      </c>
      <c r="I20" s="313"/>
      <c r="J20" s="62"/>
      <c r="K20" s="564">
        <f t="shared" ref="K20:K21" si="4">H20</f>
        <v>2475000</v>
      </c>
      <c r="L20" s="72"/>
      <c r="M20" s="580"/>
      <c r="N20" s="72"/>
      <c r="O20" s="72"/>
      <c r="P20" s="72"/>
      <c r="Q20" s="72"/>
      <c r="R20" s="72"/>
      <c r="S20" s="72"/>
      <c r="T20" s="72"/>
      <c r="U20" s="72"/>
      <c r="V20" s="72"/>
      <c r="W20" s="72"/>
    </row>
    <row r="21" spans="1:23" ht="20.25" customHeight="1" x14ac:dyDescent="0.3">
      <c r="A21" s="64"/>
      <c r="B21" s="112" t="s">
        <v>316</v>
      </c>
      <c r="C21" s="315" t="s">
        <v>64</v>
      </c>
      <c r="D21" s="200">
        <v>46218</v>
      </c>
      <c r="E21" s="196">
        <v>46082</v>
      </c>
      <c r="F21" s="197">
        <v>2649194</v>
      </c>
      <c r="G21" s="435" t="s">
        <v>28</v>
      </c>
      <c r="H21" s="197">
        <v>2649194</v>
      </c>
      <c r="I21" s="313"/>
      <c r="J21" s="62"/>
      <c r="K21" s="564">
        <f t="shared" si="4"/>
        <v>2649194</v>
      </c>
      <c r="L21" s="72"/>
      <c r="M21" s="580"/>
      <c r="N21" s="72"/>
      <c r="O21" s="72"/>
      <c r="P21" s="72"/>
      <c r="Q21" s="72"/>
      <c r="R21" s="72"/>
      <c r="S21" s="72"/>
      <c r="T21" s="72"/>
      <c r="U21" s="72"/>
      <c r="V21" s="72"/>
      <c r="W21" s="72"/>
    </row>
    <row r="22" spans="1:23" ht="20.25" customHeight="1" x14ac:dyDescent="0.3">
      <c r="A22" s="64"/>
      <c r="B22" s="511" t="s">
        <v>316</v>
      </c>
      <c r="C22" s="512" t="s">
        <v>320</v>
      </c>
      <c r="D22" s="513">
        <v>46218</v>
      </c>
      <c r="E22" s="514" t="s">
        <v>321</v>
      </c>
      <c r="F22" s="515">
        <v>7307019</v>
      </c>
      <c r="G22" s="516" t="s">
        <v>372</v>
      </c>
      <c r="H22" s="481"/>
      <c r="I22" s="482"/>
      <c r="J22" s="62"/>
      <c r="K22" s="564"/>
      <c r="L22" s="72"/>
      <c r="M22" s="580"/>
      <c r="N22" s="72"/>
      <c r="O22" s="72"/>
      <c r="P22" s="72"/>
      <c r="Q22" s="72"/>
      <c r="R22" s="72"/>
      <c r="S22" s="72"/>
      <c r="T22" s="72"/>
      <c r="U22" s="72"/>
      <c r="V22" s="72"/>
      <c r="W22" s="72"/>
    </row>
    <row r="23" spans="1:23" ht="20.25" customHeight="1" x14ac:dyDescent="0.3">
      <c r="A23" s="64"/>
      <c r="B23" s="112" t="s">
        <v>316</v>
      </c>
      <c r="C23" s="315" t="s">
        <v>65</v>
      </c>
      <c r="D23" s="200">
        <v>46218</v>
      </c>
      <c r="E23" s="196">
        <v>46113</v>
      </c>
      <c r="F23" s="197">
        <v>2812500</v>
      </c>
      <c r="G23" s="435" t="s">
        <v>28</v>
      </c>
      <c r="H23" s="197">
        <v>2812500</v>
      </c>
      <c r="I23" s="313"/>
      <c r="J23" s="62"/>
      <c r="K23" s="564">
        <f>H23</f>
        <v>2812500</v>
      </c>
      <c r="L23" s="72"/>
      <c r="M23" s="580"/>
      <c r="N23" s="72"/>
      <c r="O23" s="72"/>
      <c r="P23" s="72"/>
      <c r="Q23" s="72"/>
      <c r="R23" s="72"/>
      <c r="S23" s="72"/>
      <c r="T23" s="72"/>
      <c r="U23" s="72"/>
      <c r="V23" s="72"/>
      <c r="W23" s="72"/>
    </row>
    <row r="24" spans="1:23" ht="20.25" customHeight="1" x14ac:dyDescent="0.3">
      <c r="A24" s="64"/>
      <c r="B24" s="112" t="s">
        <v>316</v>
      </c>
      <c r="C24" s="315" t="s">
        <v>66</v>
      </c>
      <c r="D24" s="200">
        <v>46253</v>
      </c>
      <c r="E24" s="196">
        <v>46143</v>
      </c>
      <c r="F24" s="197">
        <v>2741492</v>
      </c>
      <c r="G24" s="458" t="s">
        <v>67</v>
      </c>
      <c r="H24" s="197">
        <v>2741492</v>
      </c>
      <c r="I24" s="313"/>
      <c r="J24" s="62"/>
      <c r="K24" s="564">
        <f t="shared" ref="K24:K25" si="5">H24</f>
        <v>2741492</v>
      </c>
      <c r="L24" s="72"/>
      <c r="M24" s="580"/>
      <c r="N24" s="72"/>
      <c r="O24" s="72"/>
      <c r="P24" s="72"/>
      <c r="Q24" s="72"/>
      <c r="R24" s="72"/>
      <c r="S24" s="72"/>
      <c r="T24" s="72"/>
      <c r="U24" s="72"/>
      <c r="V24" s="72"/>
      <c r="W24" s="72"/>
    </row>
    <row r="25" spans="1:23" ht="20.25" customHeight="1" x14ac:dyDescent="0.3">
      <c r="A25" s="64"/>
      <c r="B25" s="112" t="s">
        <v>316</v>
      </c>
      <c r="C25" s="315" t="s">
        <v>68</v>
      </c>
      <c r="D25" s="200">
        <v>46253</v>
      </c>
      <c r="E25" s="196" t="s">
        <v>69</v>
      </c>
      <c r="F25" s="197">
        <v>2741495</v>
      </c>
      <c r="G25" s="458" t="s">
        <v>70</v>
      </c>
      <c r="H25" s="197">
        <v>5553334</v>
      </c>
      <c r="I25" s="313"/>
      <c r="J25" s="62"/>
      <c r="K25" s="564">
        <f t="shared" si="5"/>
        <v>5553334</v>
      </c>
      <c r="L25" s="72"/>
      <c r="M25" s="580"/>
      <c r="N25" s="72"/>
      <c r="O25" s="72"/>
      <c r="P25" s="72"/>
      <c r="Q25" s="72"/>
      <c r="R25" s="72"/>
      <c r="S25" s="72"/>
      <c r="T25" s="72"/>
      <c r="U25" s="72"/>
      <c r="V25" s="72"/>
      <c r="W25" s="72"/>
    </row>
    <row r="26" spans="1:23" ht="20.25" customHeight="1" x14ac:dyDescent="0.3">
      <c r="A26" s="64"/>
      <c r="B26" s="63"/>
      <c r="C26" s="62"/>
      <c r="D26" s="62"/>
      <c r="E26" s="228" t="s">
        <v>325</v>
      </c>
      <c r="F26" s="73">
        <f>SUM(F16:F24)</f>
        <v>28550794</v>
      </c>
      <c r="G26" s="65"/>
      <c r="H26" s="73"/>
      <c r="I26" s="65"/>
      <c r="J26" s="62"/>
      <c r="K26" s="160"/>
      <c r="L26" s="72"/>
      <c r="M26" s="580"/>
      <c r="N26" s="72"/>
      <c r="O26" s="72"/>
      <c r="P26" s="72"/>
      <c r="Q26" s="72"/>
      <c r="R26" s="72"/>
      <c r="S26" s="72"/>
      <c r="T26" s="72"/>
      <c r="U26" s="72"/>
      <c r="V26" s="72"/>
      <c r="W26" s="72"/>
    </row>
    <row r="27" spans="1:23" s="10" customFormat="1" ht="21.75" customHeight="1" x14ac:dyDescent="0.3">
      <c r="A27" s="30">
        <v>4</v>
      </c>
      <c r="B27" s="475" t="s">
        <v>373</v>
      </c>
      <c r="C27" s="315" t="s">
        <v>72</v>
      </c>
      <c r="D27" s="196" t="s">
        <v>73</v>
      </c>
      <c r="E27" s="196">
        <v>46023</v>
      </c>
      <c r="F27" s="317">
        <v>5782137</v>
      </c>
      <c r="G27" s="198" t="s">
        <v>74</v>
      </c>
      <c r="H27" s="317">
        <v>5734901</v>
      </c>
      <c r="I27" s="198" t="s">
        <v>75</v>
      </c>
      <c r="J27" s="236" t="s">
        <v>76</v>
      </c>
      <c r="K27" s="566"/>
      <c r="L27" s="72"/>
      <c r="M27" s="582">
        <f>H27</f>
        <v>5734901</v>
      </c>
      <c r="N27" s="72"/>
      <c r="O27" s="72"/>
      <c r="P27" s="72"/>
      <c r="Q27" s="72"/>
      <c r="R27" s="72"/>
      <c r="S27" s="72"/>
      <c r="T27" s="72"/>
      <c r="U27" s="72"/>
      <c r="V27" s="72"/>
      <c r="W27" s="72"/>
    </row>
    <row r="28" spans="1:23" s="10" customFormat="1" ht="21.75" customHeight="1" x14ac:dyDescent="0.3">
      <c r="A28" s="30"/>
      <c r="B28" s="475" t="s">
        <v>373</v>
      </c>
      <c r="C28" s="315" t="s">
        <v>77</v>
      </c>
      <c r="D28" s="196" t="s">
        <v>78</v>
      </c>
      <c r="E28" s="196">
        <v>46054</v>
      </c>
      <c r="F28" s="317">
        <v>4757544</v>
      </c>
      <c r="G28" s="198" t="s">
        <v>74</v>
      </c>
      <c r="H28" s="317">
        <v>4700625</v>
      </c>
      <c r="I28" s="198" t="s">
        <v>75</v>
      </c>
      <c r="J28" s="236"/>
      <c r="K28" s="566"/>
      <c r="L28" s="72"/>
      <c r="M28" s="582">
        <f>H28</f>
        <v>4700625</v>
      </c>
      <c r="N28" s="72"/>
      <c r="O28" s="72"/>
      <c r="P28" s="72"/>
      <c r="Q28" s="72"/>
      <c r="R28" s="72"/>
      <c r="S28" s="72"/>
      <c r="T28" s="72"/>
      <c r="U28" s="72"/>
      <c r="V28" s="72"/>
      <c r="W28" s="72"/>
    </row>
    <row r="29" spans="1:23" s="10" customFormat="1" ht="21.75" customHeight="1" x14ac:dyDescent="0.3">
      <c r="A29" s="30"/>
      <c r="B29" s="475" t="s">
        <v>373</v>
      </c>
      <c r="C29" s="315" t="s">
        <v>79</v>
      </c>
      <c r="D29" s="196" t="s">
        <v>80</v>
      </c>
      <c r="E29" s="196">
        <v>46082</v>
      </c>
      <c r="F29" s="197">
        <v>3537097</v>
      </c>
      <c r="G29" s="198" t="s">
        <v>81</v>
      </c>
      <c r="H29" s="197">
        <f>3495968</f>
        <v>3495968</v>
      </c>
      <c r="I29" s="198"/>
      <c r="J29" s="236"/>
      <c r="K29" s="564"/>
      <c r="L29" s="72"/>
      <c r="M29" s="580">
        <f>H29</f>
        <v>3495968</v>
      </c>
      <c r="N29" s="72"/>
      <c r="O29" s="72"/>
      <c r="P29" s="72"/>
      <c r="Q29" s="72"/>
      <c r="R29" s="72"/>
      <c r="S29" s="72"/>
      <c r="T29" s="72"/>
      <c r="U29" s="72"/>
      <c r="V29" s="72"/>
      <c r="W29" s="72"/>
    </row>
    <row r="30" spans="1:23" s="10" customFormat="1" ht="21.75" customHeight="1" x14ac:dyDescent="0.3">
      <c r="A30" s="30"/>
      <c r="B30" s="475" t="s">
        <v>373</v>
      </c>
      <c r="C30" s="431" t="s">
        <v>82</v>
      </c>
      <c r="D30" s="335" t="s">
        <v>83</v>
      </c>
      <c r="E30" s="432" t="s">
        <v>84</v>
      </c>
      <c r="F30" s="317">
        <v>5280000</v>
      </c>
      <c r="G30" s="316" t="s">
        <v>85</v>
      </c>
      <c r="H30" s="314"/>
      <c r="I30" s="198"/>
      <c r="J30" s="236"/>
      <c r="K30" s="564">
        <f>F30</f>
        <v>5280000</v>
      </c>
      <c r="L30" s="72"/>
      <c r="M30" s="580"/>
      <c r="N30" s="72"/>
      <c r="O30" s="72"/>
      <c r="P30" s="72"/>
      <c r="Q30" s="72"/>
      <c r="R30" s="72"/>
      <c r="S30" s="72"/>
      <c r="T30" s="72"/>
      <c r="U30" s="72"/>
      <c r="V30" s="72"/>
      <c r="W30" s="72"/>
    </row>
    <row r="31" spans="1:23" s="10" customFormat="1" ht="21.75" customHeight="1" x14ac:dyDescent="0.3">
      <c r="A31" s="30"/>
      <c r="B31" s="475" t="s">
        <v>373</v>
      </c>
      <c r="C31" s="431" t="s">
        <v>86</v>
      </c>
      <c r="D31" s="335" t="s">
        <v>83</v>
      </c>
      <c r="E31" s="433" t="s">
        <v>87</v>
      </c>
      <c r="F31" s="317">
        <v>4224000</v>
      </c>
      <c r="G31" s="316" t="s">
        <v>85</v>
      </c>
      <c r="H31" s="314"/>
      <c r="I31" s="198"/>
      <c r="J31" s="236"/>
      <c r="K31" s="564">
        <f t="shared" ref="K31:K33" si="6">F31</f>
        <v>4224000</v>
      </c>
      <c r="L31" s="72"/>
      <c r="M31" s="580"/>
      <c r="N31" s="72"/>
      <c r="O31" s="72"/>
      <c r="P31" s="72"/>
      <c r="Q31" s="72"/>
      <c r="R31" s="72"/>
      <c r="S31" s="72"/>
      <c r="T31" s="72"/>
      <c r="U31" s="72"/>
      <c r="V31" s="72"/>
      <c r="W31" s="72"/>
    </row>
    <row r="32" spans="1:23" s="10" customFormat="1" ht="21.75" customHeight="1" x14ac:dyDescent="0.3">
      <c r="A32" s="30"/>
      <c r="B32" s="475" t="s">
        <v>373</v>
      </c>
      <c r="C32" s="431" t="s">
        <v>88</v>
      </c>
      <c r="D32" s="335" t="s">
        <v>83</v>
      </c>
      <c r="E32" s="433" t="s">
        <v>89</v>
      </c>
      <c r="F32" s="317">
        <v>4224000</v>
      </c>
      <c r="G32" s="316" t="s">
        <v>85</v>
      </c>
      <c r="H32" s="314"/>
      <c r="I32" s="198"/>
      <c r="J32" s="236"/>
      <c r="K32" s="564">
        <f t="shared" si="6"/>
        <v>4224000</v>
      </c>
      <c r="L32" s="72"/>
      <c r="M32" s="580"/>
      <c r="N32" s="72"/>
      <c r="O32" s="72"/>
      <c r="P32" s="72"/>
      <c r="Q32" s="72"/>
      <c r="R32" s="72"/>
      <c r="S32" s="72"/>
      <c r="T32" s="72"/>
      <c r="U32" s="72"/>
      <c r="V32" s="72"/>
      <c r="W32" s="72"/>
    </row>
    <row r="33" spans="1:23" s="10" customFormat="1" ht="21.75" customHeight="1" x14ac:dyDescent="0.3">
      <c r="A33" s="30"/>
      <c r="B33" s="475" t="s">
        <v>373</v>
      </c>
      <c r="C33" s="431" t="s">
        <v>90</v>
      </c>
      <c r="D33" s="335" t="s">
        <v>83</v>
      </c>
      <c r="E33" s="433" t="s">
        <v>91</v>
      </c>
      <c r="F33" s="317">
        <v>2112001</v>
      </c>
      <c r="G33" s="316" t="s">
        <v>85</v>
      </c>
      <c r="H33" s="314"/>
      <c r="I33" s="198"/>
      <c r="J33" s="236"/>
      <c r="K33" s="564">
        <f t="shared" si="6"/>
        <v>2112001</v>
      </c>
      <c r="L33" s="72"/>
      <c r="M33" s="580"/>
      <c r="N33" s="72"/>
      <c r="O33" s="72"/>
      <c r="P33" s="72"/>
      <c r="Q33" s="72"/>
      <c r="R33" s="72"/>
      <c r="S33" s="72"/>
      <c r="T33" s="72"/>
      <c r="U33" s="72"/>
      <c r="V33" s="72"/>
      <c r="W33" s="72"/>
    </row>
    <row r="34" spans="1:23" ht="21.75" customHeight="1" x14ac:dyDescent="0.3">
      <c r="A34" s="64"/>
      <c r="B34" s="63"/>
      <c r="C34" s="302"/>
      <c r="D34" s="62"/>
      <c r="E34" s="228" t="s">
        <v>329</v>
      </c>
      <c r="F34" s="73">
        <f>SUM(F27:F33)</f>
        <v>29916779</v>
      </c>
      <c r="G34" s="60"/>
      <c r="H34" s="73"/>
      <c r="I34" s="60"/>
      <c r="J34" s="62"/>
      <c r="K34" s="567"/>
      <c r="L34" s="72"/>
      <c r="M34" s="580"/>
      <c r="N34" s="72"/>
      <c r="O34" s="72"/>
      <c r="P34" s="72"/>
      <c r="Q34" s="72"/>
      <c r="R34" s="72"/>
      <c r="S34" s="72"/>
      <c r="T34" s="72"/>
      <c r="U34" s="72"/>
      <c r="V34" s="72"/>
      <c r="W34" s="72"/>
    </row>
    <row r="35" spans="1:23" s="10" customFormat="1" ht="21.75" customHeight="1" x14ac:dyDescent="0.3">
      <c r="A35" s="30">
        <v>5</v>
      </c>
      <c r="B35" s="112" t="s">
        <v>330</v>
      </c>
      <c r="C35" s="315" t="s">
        <v>93</v>
      </c>
      <c r="D35" s="196" t="s">
        <v>94</v>
      </c>
      <c r="E35" s="196">
        <v>46023</v>
      </c>
      <c r="F35" s="317">
        <v>1405176</v>
      </c>
      <c r="G35" s="198" t="s">
        <v>34</v>
      </c>
      <c r="H35" s="317">
        <v>1405176</v>
      </c>
      <c r="I35" s="198" t="s">
        <v>56</v>
      </c>
      <c r="J35" s="235" t="s">
        <v>36</v>
      </c>
      <c r="K35" s="568"/>
      <c r="L35" s="72"/>
      <c r="M35" s="580">
        <f>H35</f>
        <v>1405176</v>
      </c>
      <c r="N35" s="72"/>
      <c r="O35" s="72"/>
      <c r="P35" s="72"/>
      <c r="Q35" s="72"/>
      <c r="R35" s="72"/>
      <c r="S35" s="72"/>
      <c r="T35" s="72"/>
      <c r="U35" s="72"/>
      <c r="V35" s="72"/>
      <c r="W35" s="72"/>
    </row>
    <row r="36" spans="1:23" s="10" customFormat="1" ht="21.75" customHeight="1" x14ac:dyDescent="0.3">
      <c r="A36" s="30"/>
      <c r="B36" s="112" t="s">
        <v>330</v>
      </c>
      <c r="C36" s="315" t="s">
        <v>95</v>
      </c>
      <c r="D36" s="196" t="s">
        <v>96</v>
      </c>
      <c r="E36" s="196">
        <v>46054</v>
      </c>
      <c r="F36" s="317">
        <v>1602686</v>
      </c>
      <c r="G36" s="198" t="s">
        <v>34</v>
      </c>
      <c r="H36" s="317">
        <v>1602686</v>
      </c>
      <c r="I36" s="198" t="s">
        <v>97</v>
      </c>
      <c r="J36" s="235"/>
      <c r="K36" s="568"/>
      <c r="L36" s="72"/>
      <c r="M36" s="580">
        <f>H36</f>
        <v>1602686</v>
      </c>
      <c r="N36" s="72"/>
      <c r="O36" s="72"/>
      <c r="P36" s="72"/>
      <c r="Q36" s="72"/>
      <c r="R36" s="72"/>
      <c r="S36" s="72"/>
      <c r="T36" s="72"/>
      <c r="U36" s="72"/>
      <c r="V36" s="72"/>
      <c r="W36" s="72"/>
    </row>
    <row r="37" spans="1:23" s="10" customFormat="1" ht="21.75" customHeight="1" x14ac:dyDescent="0.3">
      <c r="A37" s="30"/>
      <c r="B37" s="112" t="s">
        <v>330</v>
      </c>
      <c r="C37" s="315" t="s">
        <v>95</v>
      </c>
      <c r="D37" s="196" t="s">
        <v>96</v>
      </c>
      <c r="E37" s="196">
        <v>46082</v>
      </c>
      <c r="F37" s="197">
        <v>1552946</v>
      </c>
      <c r="G37" s="435" t="s">
        <v>98</v>
      </c>
      <c r="H37" s="197">
        <v>1552946</v>
      </c>
      <c r="I37" s="316"/>
      <c r="J37" s="235"/>
      <c r="K37" s="569">
        <f>F37</f>
        <v>1552946</v>
      </c>
      <c r="L37" s="72"/>
      <c r="M37" s="580"/>
      <c r="N37" s="72"/>
      <c r="O37" s="72"/>
      <c r="P37" s="72"/>
      <c r="Q37" s="72"/>
      <c r="R37" s="72"/>
      <c r="S37" s="72"/>
      <c r="T37" s="72"/>
      <c r="U37" s="72"/>
      <c r="V37" s="72"/>
      <c r="W37" s="72"/>
    </row>
    <row r="38" spans="1:23" s="10" customFormat="1" ht="21.75" customHeight="1" x14ac:dyDescent="0.3">
      <c r="A38" s="30"/>
      <c r="B38" s="112" t="s">
        <v>330</v>
      </c>
      <c r="C38" s="315" t="s">
        <v>95</v>
      </c>
      <c r="D38" s="196" t="s">
        <v>96</v>
      </c>
      <c r="E38" s="196">
        <v>46113</v>
      </c>
      <c r="F38" s="197">
        <v>1625749</v>
      </c>
      <c r="G38" s="435" t="s">
        <v>98</v>
      </c>
      <c r="H38" s="197">
        <v>1625749</v>
      </c>
      <c r="I38" s="316"/>
      <c r="J38" s="235"/>
      <c r="K38" s="569">
        <f t="shared" ref="K38:K41" si="7">F38</f>
        <v>1625749</v>
      </c>
      <c r="L38" s="72"/>
      <c r="M38" s="580"/>
      <c r="N38" s="72"/>
      <c r="O38" s="72"/>
      <c r="P38" s="72"/>
      <c r="Q38" s="72"/>
      <c r="R38" s="72"/>
      <c r="S38" s="72"/>
      <c r="T38" s="72"/>
      <c r="U38" s="72"/>
      <c r="V38" s="72"/>
      <c r="W38" s="72"/>
    </row>
    <row r="39" spans="1:23" s="10" customFormat="1" ht="21.75" customHeight="1" x14ac:dyDescent="0.3">
      <c r="A39" s="30"/>
      <c r="B39" s="112" t="s">
        <v>330</v>
      </c>
      <c r="C39" s="315" t="s">
        <v>99</v>
      </c>
      <c r="D39" s="196">
        <v>46259</v>
      </c>
      <c r="E39" s="196">
        <v>46143</v>
      </c>
      <c r="F39" s="197">
        <v>2350861</v>
      </c>
      <c r="G39" s="458" t="s">
        <v>100</v>
      </c>
      <c r="H39" s="197"/>
      <c r="I39" s="316"/>
      <c r="J39" s="235"/>
      <c r="K39" s="569">
        <f t="shared" si="7"/>
        <v>2350861</v>
      </c>
      <c r="L39" s="72"/>
      <c r="M39" s="580"/>
      <c r="N39" s="72"/>
      <c r="O39" s="72"/>
      <c r="P39" s="72"/>
      <c r="Q39" s="72"/>
      <c r="R39" s="72"/>
      <c r="S39" s="72"/>
      <c r="T39" s="72"/>
      <c r="U39" s="72"/>
      <c r="V39" s="72"/>
      <c r="W39" s="72"/>
    </row>
    <row r="40" spans="1:23" s="10" customFormat="1" ht="21.75" customHeight="1" x14ac:dyDescent="0.3">
      <c r="A40" s="30"/>
      <c r="B40" s="112" t="s">
        <v>330</v>
      </c>
      <c r="C40" s="315" t="s">
        <v>101</v>
      </c>
      <c r="D40" s="196">
        <v>46259</v>
      </c>
      <c r="E40" s="196">
        <v>46174</v>
      </c>
      <c r="F40" s="197">
        <v>2583790</v>
      </c>
      <c r="G40" s="458" t="s">
        <v>100</v>
      </c>
      <c r="H40" s="197"/>
      <c r="I40" s="316"/>
      <c r="J40" s="235"/>
      <c r="K40" s="569">
        <f t="shared" si="7"/>
        <v>2583790</v>
      </c>
      <c r="L40" s="72"/>
      <c r="M40" s="580"/>
      <c r="N40" s="72"/>
      <c r="O40" s="72"/>
      <c r="P40" s="72"/>
      <c r="Q40" s="72"/>
      <c r="R40" s="72"/>
      <c r="S40" s="72"/>
      <c r="T40" s="72"/>
      <c r="U40" s="72"/>
      <c r="V40" s="72"/>
      <c r="W40" s="72"/>
    </row>
    <row r="41" spans="1:23" s="10" customFormat="1" ht="27.75" customHeight="1" x14ac:dyDescent="0.3">
      <c r="A41" s="30"/>
      <c r="B41" s="112" t="s">
        <v>330</v>
      </c>
      <c r="C41" s="315" t="s">
        <v>102</v>
      </c>
      <c r="D41" s="196">
        <v>46259</v>
      </c>
      <c r="E41" s="467" t="s">
        <v>103</v>
      </c>
      <c r="F41" s="197">
        <v>4774938</v>
      </c>
      <c r="G41" s="458" t="s">
        <v>100</v>
      </c>
      <c r="H41" s="197"/>
      <c r="I41" s="316"/>
      <c r="J41" s="235"/>
      <c r="K41" s="569">
        <f t="shared" si="7"/>
        <v>4774938</v>
      </c>
      <c r="L41" s="72"/>
      <c r="M41" s="580"/>
      <c r="N41" s="72"/>
      <c r="O41" s="72"/>
      <c r="P41" s="72"/>
      <c r="Q41" s="72"/>
      <c r="R41" s="72"/>
      <c r="S41" s="72"/>
      <c r="T41" s="72"/>
      <c r="U41" s="72"/>
      <c r="V41" s="72"/>
      <c r="W41" s="72"/>
    </row>
    <row r="42" spans="1:23" ht="23.4" customHeight="1" x14ac:dyDescent="0.3">
      <c r="A42" s="64"/>
      <c r="B42" s="62"/>
      <c r="C42" s="62"/>
      <c r="D42" s="62"/>
      <c r="E42" s="228" t="s">
        <v>334</v>
      </c>
      <c r="F42" s="73">
        <f>SUM(F35:F41)</f>
        <v>15896146</v>
      </c>
      <c r="G42" s="60"/>
      <c r="H42" s="73"/>
      <c r="I42" s="60"/>
      <c r="J42" s="62"/>
      <c r="K42" s="160"/>
      <c r="L42" s="72"/>
      <c r="M42" s="580"/>
      <c r="N42" s="72"/>
      <c r="O42" s="72"/>
      <c r="P42" s="72"/>
      <c r="Q42" s="72"/>
      <c r="R42" s="72"/>
      <c r="S42" s="72"/>
      <c r="T42" s="72"/>
      <c r="U42" s="72"/>
      <c r="V42" s="72"/>
      <c r="W42" s="72"/>
    </row>
    <row r="43" spans="1:23" ht="23.4" customHeight="1" x14ac:dyDescent="0.3">
      <c r="A43" s="64">
        <v>6</v>
      </c>
      <c r="B43" s="408" t="s">
        <v>335</v>
      </c>
      <c r="C43" s="191" t="s">
        <v>105</v>
      </c>
      <c r="D43" s="191"/>
      <c r="E43" s="191">
        <v>45839</v>
      </c>
      <c r="F43" s="393">
        <v>840952.71</v>
      </c>
      <c r="G43" s="191" t="s">
        <v>34</v>
      </c>
      <c r="H43" s="393">
        <v>840952.71</v>
      </c>
      <c r="I43" s="192" t="s">
        <v>106</v>
      </c>
      <c r="J43" s="62"/>
      <c r="K43" s="570">
        <f>F43</f>
        <v>840952.71</v>
      </c>
      <c r="L43" s="72"/>
      <c r="M43" s="580"/>
      <c r="N43" s="72"/>
      <c r="O43" s="72"/>
      <c r="P43" s="72"/>
      <c r="Q43" s="72"/>
      <c r="R43" s="72"/>
      <c r="S43" s="72"/>
      <c r="T43" s="72"/>
      <c r="U43" s="72"/>
      <c r="V43" s="72"/>
      <c r="W43" s="72"/>
    </row>
    <row r="44" spans="1:23" ht="23.4" customHeight="1" x14ac:dyDescent="0.3">
      <c r="A44" s="64"/>
      <c r="B44" s="408" t="s">
        <v>335</v>
      </c>
      <c r="C44" s="191" t="s">
        <v>107</v>
      </c>
      <c r="D44" s="191"/>
      <c r="E44" s="191">
        <v>45870</v>
      </c>
      <c r="F44" s="393">
        <v>2215560.39</v>
      </c>
      <c r="G44" s="191" t="s">
        <v>34</v>
      </c>
      <c r="H44" s="393">
        <v>2215560.39</v>
      </c>
      <c r="I44" s="192" t="s">
        <v>106</v>
      </c>
      <c r="J44" s="62"/>
      <c r="K44" s="570">
        <f t="shared" ref="K44:K49" si="8">F44</f>
        <v>2215560.39</v>
      </c>
      <c r="L44" s="72"/>
      <c r="M44" s="580"/>
      <c r="N44" s="72"/>
      <c r="O44" s="72"/>
      <c r="P44" s="72"/>
      <c r="Q44" s="72"/>
      <c r="R44" s="72"/>
      <c r="S44" s="72"/>
      <c r="T44" s="72"/>
      <c r="U44" s="72"/>
      <c r="V44" s="72"/>
      <c r="W44" s="72"/>
    </row>
    <row r="45" spans="1:23" ht="23.4" customHeight="1" x14ac:dyDescent="0.3">
      <c r="A45" s="64"/>
      <c r="B45" s="408" t="s">
        <v>335</v>
      </c>
      <c r="C45" s="191" t="s">
        <v>108</v>
      </c>
      <c r="D45" s="191"/>
      <c r="E45" s="191" t="s">
        <v>109</v>
      </c>
      <c r="F45" s="393">
        <v>4084336.95</v>
      </c>
      <c r="G45" s="191" t="s">
        <v>34</v>
      </c>
      <c r="H45" s="393">
        <v>4084336.95</v>
      </c>
      <c r="I45" s="192" t="s">
        <v>106</v>
      </c>
      <c r="J45" s="62"/>
      <c r="K45" s="570">
        <f t="shared" si="8"/>
        <v>4084336.95</v>
      </c>
      <c r="L45" s="72"/>
      <c r="M45" s="580"/>
      <c r="N45" s="72"/>
      <c r="O45" s="72"/>
      <c r="P45" s="72"/>
      <c r="Q45" s="72"/>
      <c r="R45" s="72"/>
      <c r="S45" s="72"/>
      <c r="T45" s="72"/>
      <c r="U45" s="72"/>
      <c r="V45" s="72"/>
      <c r="W45" s="72"/>
    </row>
    <row r="46" spans="1:23" ht="23.4" customHeight="1" x14ac:dyDescent="0.3">
      <c r="A46" s="64"/>
      <c r="B46" s="408" t="s">
        <v>335</v>
      </c>
      <c r="C46" s="191" t="s">
        <v>110</v>
      </c>
      <c r="D46" s="191"/>
      <c r="E46" s="191" t="s">
        <v>55</v>
      </c>
      <c r="F46" s="369">
        <v>5703517</v>
      </c>
      <c r="G46" s="191" t="s">
        <v>34</v>
      </c>
      <c r="H46" s="369">
        <v>5703517</v>
      </c>
      <c r="I46" s="192" t="s">
        <v>106</v>
      </c>
      <c r="J46" s="62"/>
      <c r="K46" s="570">
        <f t="shared" si="8"/>
        <v>5703517</v>
      </c>
      <c r="L46" s="72"/>
      <c r="M46" s="580"/>
      <c r="N46" s="72"/>
      <c r="O46" s="72"/>
      <c r="P46" s="72"/>
      <c r="Q46" s="72"/>
      <c r="R46" s="72"/>
      <c r="S46" s="72"/>
      <c r="T46" s="72"/>
      <c r="U46" s="72"/>
      <c r="V46" s="72"/>
      <c r="W46" s="72"/>
    </row>
    <row r="47" spans="1:23" ht="23.4" customHeight="1" x14ac:dyDescent="0.3">
      <c r="A47" s="64"/>
      <c r="B47" s="408" t="s">
        <v>335</v>
      </c>
      <c r="C47" s="191" t="s">
        <v>111</v>
      </c>
      <c r="D47" s="191"/>
      <c r="E47" s="191" t="s">
        <v>58</v>
      </c>
      <c r="F47" s="369">
        <v>5685511</v>
      </c>
      <c r="G47" s="191" t="s">
        <v>34</v>
      </c>
      <c r="H47" s="369">
        <v>5668850</v>
      </c>
      <c r="I47" s="192" t="s">
        <v>106</v>
      </c>
      <c r="J47" s="62"/>
      <c r="K47" s="570">
        <f t="shared" si="8"/>
        <v>5685511</v>
      </c>
      <c r="L47" s="72"/>
      <c r="M47" s="580"/>
      <c r="N47" s="72"/>
      <c r="O47" s="72"/>
      <c r="P47" s="72"/>
      <c r="Q47" s="72"/>
      <c r="R47" s="72"/>
      <c r="S47" s="72"/>
      <c r="T47" s="72"/>
      <c r="U47" s="72"/>
      <c r="V47" s="72"/>
      <c r="W47" s="72"/>
    </row>
    <row r="48" spans="1:23" ht="21.75" customHeight="1" x14ac:dyDescent="0.3">
      <c r="A48" s="64"/>
      <c r="B48" s="408" t="s">
        <v>335</v>
      </c>
      <c r="C48" s="191" t="s">
        <v>112</v>
      </c>
      <c r="D48" s="191"/>
      <c r="E48" s="191" t="s">
        <v>60</v>
      </c>
      <c r="F48" s="369">
        <v>5687393</v>
      </c>
      <c r="G48" s="191" t="s">
        <v>34</v>
      </c>
      <c r="H48" s="369">
        <v>5687393</v>
      </c>
      <c r="I48" s="192" t="s">
        <v>106</v>
      </c>
      <c r="J48" s="62"/>
      <c r="K48" s="570">
        <f t="shared" si="8"/>
        <v>5687393</v>
      </c>
      <c r="L48" s="72"/>
      <c r="M48" s="580"/>
      <c r="N48" s="72"/>
      <c r="O48" s="72"/>
      <c r="P48" s="72"/>
      <c r="Q48" s="72"/>
      <c r="R48" s="72"/>
      <c r="S48" s="72"/>
      <c r="T48" s="72"/>
      <c r="U48" s="72"/>
      <c r="V48" s="72"/>
      <c r="W48" s="72"/>
    </row>
    <row r="49" spans="1:23" ht="21.75" customHeight="1" x14ac:dyDescent="0.3">
      <c r="A49" s="64"/>
      <c r="B49" s="408" t="s">
        <v>335</v>
      </c>
      <c r="C49" s="191" t="s">
        <v>113</v>
      </c>
      <c r="D49" s="191"/>
      <c r="E49" s="191" t="s">
        <v>114</v>
      </c>
      <c r="F49" s="369">
        <v>5711580</v>
      </c>
      <c r="G49" s="191" t="s">
        <v>34</v>
      </c>
      <c r="H49" s="369">
        <v>5711580</v>
      </c>
      <c r="I49" s="192" t="s">
        <v>106</v>
      </c>
      <c r="J49" s="62"/>
      <c r="K49" s="570">
        <f t="shared" si="8"/>
        <v>5711580</v>
      </c>
      <c r="L49" s="72"/>
      <c r="M49" s="580"/>
      <c r="N49" s="72"/>
      <c r="O49" s="72"/>
      <c r="P49" s="72"/>
      <c r="Q49" s="72"/>
      <c r="R49" s="72"/>
      <c r="S49" s="72"/>
      <c r="T49" s="72"/>
      <c r="U49" s="72"/>
      <c r="V49" s="72"/>
      <c r="W49" s="72"/>
    </row>
    <row r="50" spans="1:23" s="17" customFormat="1" ht="20.25" customHeight="1" x14ac:dyDescent="0.3">
      <c r="A50" s="112"/>
      <c r="B50" s="408" t="s">
        <v>335</v>
      </c>
      <c r="C50" s="198" t="s">
        <v>115</v>
      </c>
      <c r="D50" s="198" t="s">
        <v>116</v>
      </c>
      <c r="E50" s="196" t="s">
        <v>117</v>
      </c>
      <c r="F50" s="317">
        <v>5734901</v>
      </c>
      <c r="G50" s="198" t="s">
        <v>34</v>
      </c>
      <c r="H50" s="317">
        <v>5734901</v>
      </c>
      <c r="I50" s="198" t="s">
        <v>75</v>
      </c>
      <c r="J50" s="186"/>
      <c r="K50" s="571">
        <f>H50</f>
        <v>5734901</v>
      </c>
      <c r="L50" s="72"/>
      <c r="M50" s="580"/>
      <c r="N50" s="72"/>
      <c r="O50" s="72"/>
      <c r="P50" s="72"/>
      <c r="Q50" s="72"/>
      <c r="R50" s="72"/>
      <c r="S50" s="72"/>
      <c r="T50" s="72"/>
      <c r="U50" s="72"/>
      <c r="V50" s="72"/>
      <c r="W50" s="72"/>
    </row>
    <row r="51" spans="1:23" s="10" customFormat="1" ht="20.25" customHeight="1" x14ac:dyDescent="0.3">
      <c r="A51" s="112"/>
      <c r="B51" s="408" t="s">
        <v>335</v>
      </c>
      <c r="C51" s="198" t="s">
        <v>118</v>
      </c>
      <c r="D51" s="198" t="s">
        <v>119</v>
      </c>
      <c r="E51" s="196" t="s">
        <v>120</v>
      </c>
      <c r="F51" s="317">
        <v>5727703</v>
      </c>
      <c r="G51" s="198" t="s">
        <v>34</v>
      </c>
      <c r="H51" s="317">
        <v>5727703</v>
      </c>
      <c r="I51" s="198" t="s">
        <v>75</v>
      </c>
      <c r="J51" s="186" t="s">
        <v>121</v>
      </c>
      <c r="K51" s="571">
        <f>H51</f>
        <v>5727703</v>
      </c>
      <c r="L51" s="72"/>
      <c r="M51" s="580"/>
      <c r="N51" s="72"/>
      <c r="O51" s="72"/>
      <c r="P51" s="72"/>
      <c r="Q51" s="72"/>
      <c r="R51" s="72"/>
      <c r="S51" s="72"/>
      <c r="T51" s="72"/>
      <c r="U51" s="72"/>
      <c r="V51" s="72"/>
      <c r="W51" s="72"/>
    </row>
    <row r="52" spans="1:23" s="11" customFormat="1" ht="20.25" customHeight="1" x14ac:dyDescent="0.3">
      <c r="A52" s="112"/>
      <c r="B52" s="408" t="s">
        <v>335</v>
      </c>
      <c r="C52" s="198" t="s">
        <v>122</v>
      </c>
      <c r="D52" s="198" t="s">
        <v>123</v>
      </c>
      <c r="E52" s="315" t="s">
        <v>124</v>
      </c>
      <c r="F52" s="197">
        <v>11028148</v>
      </c>
      <c r="G52" s="435" t="s">
        <v>125</v>
      </c>
      <c r="H52" s="197">
        <v>11028148</v>
      </c>
      <c r="I52" s="198"/>
      <c r="J52" s="186"/>
      <c r="K52" s="494">
        <f>H52</f>
        <v>11028148</v>
      </c>
      <c r="L52" s="72"/>
      <c r="M52" s="580"/>
      <c r="N52" s="72"/>
      <c r="O52" s="72"/>
      <c r="P52" s="72"/>
      <c r="Q52" s="72"/>
      <c r="R52" s="72"/>
      <c r="S52" s="72"/>
      <c r="T52" s="72"/>
      <c r="U52" s="72"/>
      <c r="V52" s="72"/>
      <c r="W52" s="72"/>
    </row>
    <row r="53" spans="1:23" s="11" customFormat="1" ht="20.25" customHeight="1" x14ac:dyDescent="0.3">
      <c r="A53" s="30"/>
      <c r="B53" s="408" t="s">
        <v>335</v>
      </c>
      <c r="C53" s="198" t="s">
        <v>126</v>
      </c>
      <c r="D53" s="198" t="s">
        <v>123</v>
      </c>
      <c r="E53" s="315" t="s">
        <v>127</v>
      </c>
      <c r="F53" s="197">
        <v>4595062</v>
      </c>
      <c r="G53" s="198" t="s">
        <v>128</v>
      </c>
      <c r="H53" s="195"/>
      <c r="I53" s="198"/>
      <c r="J53" s="186"/>
      <c r="K53" s="494">
        <f>F53</f>
        <v>4595062</v>
      </c>
      <c r="L53" s="72"/>
      <c r="M53" s="580"/>
      <c r="N53" s="72"/>
      <c r="O53" s="72"/>
      <c r="P53" s="72"/>
      <c r="Q53" s="72"/>
      <c r="R53" s="72"/>
      <c r="S53" s="72"/>
      <c r="T53" s="72"/>
      <c r="U53" s="72"/>
      <c r="V53" s="72"/>
      <c r="W53" s="72"/>
    </row>
    <row r="54" spans="1:23" s="11" customFormat="1" ht="20.25" customHeight="1" x14ac:dyDescent="0.3">
      <c r="A54" s="30"/>
      <c r="B54" s="408" t="s">
        <v>335</v>
      </c>
      <c r="C54" s="198" t="s">
        <v>129</v>
      </c>
      <c r="D54" s="198" t="s">
        <v>130</v>
      </c>
      <c r="E54" s="315" t="s">
        <v>131</v>
      </c>
      <c r="F54" s="197">
        <v>3676049</v>
      </c>
      <c r="G54" s="198" t="s">
        <v>128</v>
      </c>
      <c r="H54" s="195"/>
      <c r="I54" s="198"/>
      <c r="J54" s="186"/>
      <c r="K54" s="494">
        <f>F54</f>
        <v>3676049</v>
      </c>
      <c r="L54" s="72"/>
      <c r="M54" s="580"/>
      <c r="N54" s="72"/>
      <c r="O54" s="72"/>
      <c r="P54" s="72"/>
      <c r="Q54" s="72"/>
      <c r="R54" s="72"/>
      <c r="S54" s="72"/>
      <c r="T54" s="72"/>
      <c r="U54" s="72"/>
      <c r="V54" s="72"/>
      <c r="W54" s="72"/>
    </row>
    <row r="55" spans="1:23" s="11" customFormat="1" ht="20.25" customHeight="1" x14ac:dyDescent="0.3">
      <c r="A55" s="30"/>
      <c r="B55" s="408" t="s">
        <v>335</v>
      </c>
      <c r="C55" s="198" t="s">
        <v>132</v>
      </c>
      <c r="D55" s="198" t="s">
        <v>123</v>
      </c>
      <c r="E55" s="196" t="s">
        <v>133</v>
      </c>
      <c r="F55" s="197">
        <v>5710504</v>
      </c>
      <c r="G55" s="198" t="s">
        <v>34</v>
      </c>
      <c r="H55" s="197">
        <v>5710504</v>
      </c>
      <c r="I55" s="198" t="s">
        <v>56</v>
      </c>
      <c r="J55" s="186"/>
      <c r="K55" s="494">
        <f>H55</f>
        <v>5710504</v>
      </c>
      <c r="L55" s="72"/>
      <c r="M55" s="580"/>
      <c r="N55" s="72"/>
      <c r="O55" s="72"/>
      <c r="P55" s="72"/>
      <c r="Q55" s="72"/>
      <c r="R55" s="72"/>
      <c r="S55" s="72"/>
      <c r="T55" s="72"/>
      <c r="U55" s="72"/>
      <c r="V55" s="72"/>
      <c r="W55" s="72"/>
    </row>
    <row r="56" spans="1:23" s="11" customFormat="1" ht="20.25" customHeight="1" x14ac:dyDescent="0.3">
      <c r="A56" s="30"/>
      <c r="B56" s="408" t="s">
        <v>335</v>
      </c>
      <c r="C56" s="198" t="s">
        <v>134</v>
      </c>
      <c r="D56" s="198" t="s">
        <v>135</v>
      </c>
      <c r="E56" s="196">
        <v>46143</v>
      </c>
      <c r="F56" s="197">
        <v>5703517</v>
      </c>
      <c r="G56" s="435" t="s">
        <v>28</v>
      </c>
      <c r="H56" s="197">
        <v>5703517</v>
      </c>
      <c r="I56" s="198"/>
      <c r="J56" s="186"/>
      <c r="K56" s="494">
        <f>F56</f>
        <v>5703517</v>
      </c>
      <c r="L56" s="72"/>
      <c r="M56" s="580"/>
      <c r="N56" s="72"/>
      <c r="O56" s="72"/>
      <c r="P56" s="72"/>
      <c r="Q56" s="72"/>
      <c r="R56" s="72"/>
      <c r="S56" s="72"/>
      <c r="T56" s="72"/>
      <c r="U56" s="72"/>
      <c r="V56" s="72"/>
      <c r="W56" s="72"/>
    </row>
    <row r="57" spans="1:23" s="11" customFormat="1" ht="20.25" customHeight="1" x14ac:dyDescent="0.3">
      <c r="A57" s="30"/>
      <c r="B57" s="408" t="s">
        <v>335</v>
      </c>
      <c r="C57" s="301" t="s">
        <v>136</v>
      </c>
      <c r="D57" s="223" t="s">
        <v>137</v>
      </c>
      <c r="E57" s="223">
        <v>46174</v>
      </c>
      <c r="F57" s="224">
        <v>5743827</v>
      </c>
      <c r="G57" s="458" t="s">
        <v>138</v>
      </c>
      <c r="H57" s="197"/>
      <c r="I57" s="198"/>
      <c r="J57" s="186"/>
      <c r="K57" s="494">
        <f t="shared" ref="K57:K58" si="9">F57</f>
        <v>5743827</v>
      </c>
      <c r="L57" s="72"/>
      <c r="M57" s="580"/>
      <c r="N57" s="72"/>
      <c r="O57" s="72"/>
      <c r="P57" s="72"/>
      <c r="Q57" s="72"/>
      <c r="R57" s="72"/>
      <c r="S57" s="72"/>
      <c r="T57" s="72"/>
      <c r="U57" s="72"/>
      <c r="V57" s="72"/>
      <c r="W57" s="72"/>
    </row>
    <row r="58" spans="1:23" s="11" customFormat="1" ht="20.25" customHeight="1" x14ac:dyDescent="0.3">
      <c r="A58" s="30"/>
      <c r="B58" s="408" t="s">
        <v>335</v>
      </c>
      <c r="C58" s="301" t="s">
        <v>139</v>
      </c>
      <c r="D58" s="223" t="s">
        <v>140</v>
      </c>
      <c r="E58" s="223">
        <v>46204</v>
      </c>
      <c r="F58" s="224">
        <v>5743827</v>
      </c>
      <c r="G58" s="458" t="s">
        <v>138</v>
      </c>
      <c r="H58" s="197"/>
      <c r="I58" s="198"/>
      <c r="J58" s="186"/>
      <c r="K58" s="494">
        <f t="shared" si="9"/>
        <v>5743827</v>
      </c>
      <c r="L58" s="72"/>
      <c r="M58" s="580"/>
      <c r="N58" s="72"/>
      <c r="O58" s="72"/>
      <c r="P58" s="72"/>
      <c r="Q58" s="72"/>
      <c r="R58" s="72"/>
      <c r="S58" s="72"/>
      <c r="T58" s="72"/>
      <c r="U58" s="72"/>
      <c r="V58" s="72"/>
      <c r="W58" s="72"/>
    </row>
    <row r="59" spans="1:23" s="11" customFormat="1" ht="20.25" customHeight="1" x14ac:dyDescent="0.3">
      <c r="A59" s="30"/>
      <c r="B59" s="27"/>
      <c r="C59" s="143"/>
      <c r="D59" s="143"/>
      <c r="E59" s="228" t="s">
        <v>347</v>
      </c>
      <c r="F59" s="146">
        <f>SUM(F43:F56)</f>
        <v>72104735.049999997</v>
      </c>
      <c r="G59" s="148"/>
      <c r="H59" s="149"/>
      <c r="I59" s="148"/>
      <c r="J59" s="186"/>
      <c r="K59" s="494"/>
      <c r="L59" s="72"/>
      <c r="M59" s="580"/>
      <c r="N59" s="72"/>
      <c r="O59" s="72"/>
      <c r="P59" s="72"/>
      <c r="Q59" s="72"/>
      <c r="R59" s="72"/>
      <c r="S59" s="72"/>
      <c r="T59" s="72"/>
      <c r="U59" s="72"/>
      <c r="V59" s="72"/>
      <c r="W59" s="72"/>
    </row>
    <row r="60" spans="1:23" s="307" customFormat="1" ht="20.25" customHeight="1" x14ac:dyDescent="0.3">
      <c r="A60" s="305"/>
      <c r="B60" s="306"/>
      <c r="C60" s="155"/>
      <c r="D60" s="155"/>
      <c r="E60" s="308" t="s">
        <v>348</v>
      </c>
      <c r="F60" s="318">
        <f>F5+F15+F26+F34+F42+F59</f>
        <v>199625798.05000001</v>
      </c>
      <c r="G60" s="310"/>
      <c r="H60" s="309"/>
      <c r="I60" s="309"/>
      <c r="J60" s="305"/>
      <c r="K60" s="160"/>
      <c r="L60" s="72"/>
      <c r="M60" s="580"/>
      <c r="N60" s="72"/>
      <c r="O60" s="72"/>
      <c r="P60" s="72"/>
      <c r="Q60" s="72"/>
      <c r="R60" s="72"/>
      <c r="S60" s="72"/>
      <c r="T60" s="72"/>
      <c r="U60" s="72"/>
      <c r="V60" s="72"/>
      <c r="W60" s="72"/>
    </row>
    <row r="61" spans="1:23" s="10" customFormat="1" ht="21.6" customHeight="1" x14ac:dyDescent="0.3">
      <c r="A61" s="32">
        <v>7</v>
      </c>
      <c r="B61" s="23" t="s">
        <v>349</v>
      </c>
      <c r="C61" s="312" t="s">
        <v>142</v>
      </c>
      <c r="D61" s="202" t="s">
        <v>143</v>
      </c>
      <c r="E61" s="195" t="s">
        <v>144</v>
      </c>
      <c r="F61" s="197">
        <v>1345257</v>
      </c>
      <c r="G61" s="198" t="s">
        <v>34</v>
      </c>
      <c r="H61" s="197">
        <v>1345257</v>
      </c>
      <c r="I61" s="198" t="s">
        <v>145</v>
      </c>
      <c r="J61" s="237"/>
      <c r="K61" s="564"/>
      <c r="L61" s="72"/>
      <c r="M61" s="580"/>
      <c r="N61" s="72"/>
      <c r="O61" s="72"/>
      <c r="P61" s="72">
        <f>H61</f>
        <v>1345257</v>
      </c>
      <c r="Q61" s="72"/>
      <c r="R61" s="72"/>
      <c r="S61" s="72"/>
      <c r="T61" s="72"/>
      <c r="U61" s="72"/>
      <c r="V61" s="72"/>
      <c r="W61" s="72"/>
    </row>
    <row r="62" spans="1:23" s="10" customFormat="1" ht="21.6" customHeight="1" x14ac:dyDescent="0.3">
      <c r="A62" s="30"/>
      <c r="B62" s="23" t="s">
        <v>349</v>
      </c>
      <c r="C62" s="312" t="s">
        <v>146</v>
      </c>
      <c r="D62" s="202"/>
      <c r="E62" s="467" t="s">
        <v>147</v>
      </c>
      <c r="F62" s="317">
        <v>1139128</v>
      </c>
      <c r="G62" s="198" t="s">
        <v>34</v>
      </c>
      <c r="H62" s="197">
        <v>1096935</v>
      </c>
      <c r="I62" s="198" t="s">
        <v>35</v>
      </c>
      <c r="J62" s="237"/>
      <c r="K62" s="564"/>
      <c r="L62" s="72"/>
      <c r="M62" s="580"/>
      <c r="N62" s="72"/>
      <c r="O62" s="72"/>
      <c r="P62" s="72">
        <f>H62</f>
        <v>1096935</v>
      </c>
      <c r="Q62" s="72"/>
      <c r="R62" s="72"/>
      <c r="S62" s="72"/>
      <c r="T62" s="72"/>
      <c r="U62" s="72"/>
      <c r="V62" s="72"/>
      <c r="W62" s="72"/>
    </row>
    <row r="63" spans="1:23" s="10" customFormat="1" ht="21.6" customHeight="1" x14ac:dyDescent="0.3">
      <c r="A63" s="30"/>
      <c r="B63" s="23" t="s">
        <v>349</v>
      </c>
      <c r="C63" s="195" t="s">
        <v>146</v>
      </c>
      <c r="D63" s="202" t="s">
        <v>148</v>
      </c>
      <c r="E63" s="196">
        <v>46174</v>
      </c>
      <c r="F63" s="317">
        <v>1307888</v>
      </c>
      <c r="G63" s="435" t="s">
        <v>28</v>
      </c>
      <c r="H63" s="197">
        <v>1307888</v>
      </c>
      <c r="I63" s="198"/>
      <c r="J63" s="237"/>
      <c r="K63" s="564"/>
      <c r="L63" s="72"/>
      <c r="M63" s="580"/>
      <c r="N63" s="72"/>
      <c r="O63" s="72"/>
      <c r="P63" s="72">
        <f>F63</f>
        <v>1307888</v>
      </c>
      <c r="Q63" s="72"/>
      <c r="R63" s="72"/>
      <c r="S63" s="72"/>
      <c r="T63" s="72"/>
      <c r="U63" s="72"/>
      <c r="V63" s="72"/>
      <c r="W63" s="72"/>
    </row>
    <row r="64" spans="1:23" s="10" customFormat="1" ht="21.6" customHeight="1" x14ac:dyDescent="0.3">
      <c r="A64" s="30"/>
      <c r="B64" s="23" t="s">
        <v>349</v>
      </c>
      <c r="C64" s="195" t="s">
        <v>149</v>
      </c>
      <c r="D64" s="202" t="s">
        <v>150</v>
      </c>
      <c r="E64" s="196">
        <v>46204</v>
      </c>
      <c r="F64" s="317">
        <v>1307888</v>
      </c>
      <c r="G64" s="198" t="s">
        <v>151</v>
      </c>
      <c r="H64" s="197"/>
      <c r="I64" s="198"/>
      <c r="J64" s="237"/>
      <c r="K64" s="564"/>
      <c r="L64" s="72"/>
      <c r="M64" s="580"/>
      <c r="N64" s="72"/>
      <c r="O64" s="72"/>
      <c r="P64" s="72">
        <f>F64</f>
        <v>1307888</v>
      </c>
      <c r="Q64" s="72"/>
      <c r="R64" s="72"/>
      <c r="S64" s="72"/>
      <c r="T64" s="72"/>
      <c r="U64" s="72"/>
      <c r="V64" s="72"/>
      <c r="W64" s="72"/>
    </row>
    <row r="65" spans="1:23" s="10" customFormat="1" ht="21.75" customHeight="1" x14ac:dyDescent="0.3">
      <c r="A65" s="30"/>
      <c r="B65" s="21"/>
      <c r="C65" s="59"/>
      <c r="D65" s="62"/>
      <c r="E65" s="228" t="s">
        <v>353</v>
      </c>
      <c r="F65" s="73">
        <f>SUM(F61:F64)</f>
        <v>5100161</v>
      </c>
      <c r="G65" s="65"/>
      <c r="H65" s="73"/>
      <c r="I65" s="65"/>
      <c r="J65" s="237"/>
      <c r="K65" s="564"/>
      <c r="L65" s="72"/>
      <c r="M65" s="580"/>
      <c r="N65" s="72"/>
      <c r="O65" s="72"/>
      <c r="P65" s="72"/>
      <c r="Q65" s="72"/>
      <c r="R65" s="72"/>
      <c r="S65" s="72"/>
      <c r="T65" s="72"/>
      <c r="U65" s="72"/>
      <c r="V65" s="72"/>
      <c r="W65" s="72"/>
    </row>
    <row r="66" spans="1:23" s="10" customFormat="1" ht="21.75" customHeight="1" x14ac:dyDescent="0.3">
      <c r="A66" s="30">
        <v>8</v>
      </c>
      <c r="B66" s="23" t="s">
        <v>354</v>
      </c>
      <c r="C66" s="195">
        <v>2627103594</v>
      </c>
      <c r="D66" s="202" t="s">
        <v>153</v>
      </c>
      <c r="E66" s="196">
        <v>46113</v>
      </c>
      <c r="F66" s="197">
        <v>690054</v>
      </c>
      <c r="G66" s="198" t="s">
        <v>154</v>
      </c>
      <c r="H66" s="314"/>
      <c r="I66" s="198" t="s">
        <v>155</v>
      </c>
      <c r="J66" s="237"/>
      <c r="K66" s="564"/>
      <c r="L66" s="72"/>
      <c r="M66" s="580"/>
      <c r="N66" s="72"/>
      <c r="O66" s="72"/>
      <c r="P66" s="72"/>
      <c r="Q66" s="72"/>
      <c r="R66" s="72"/>
      <c r="S66" s="72">
        <f>F66</f>
        <v>690054</v>
      </c>
      <c r="T66" s="72"/>
      <c r="U66" s="72"/>
      <c r="V66" s="72"/>
      <c r="W66" s="72"/>
    </row>
    <row r="67" spans="1:23" s="10" customFormat="1" ht="21.75" customHeight="1" x14ac:dyDescent="0.3">
      <c r="A67" s="30"/>
      <c r="B67" s="23" t="s">
        <v>354</v>
      </c>
      <c r="C67" s="195">
        <v>2627103595</v>
      </c>
      <c r="D67" s="202" t="s">
        <v>153</v>
      </c>
      <c r="E67" s="196">
        <v>46143</v>
      </c>
      <c r="F67" s="197">
        <v>740804</v>
      </c>
      <c r="G67" s="198" t="s">
        <v>154</v>
      </c>
      <c r="H67" s="314"/>
      <c r="I67" s="198" t="s">
        <v>155</v>
      </c>
      <c r="J67" s="237"/>
      <c r="K67" s="564"/>
      <c r="L67" s="72"/>
      <c r="M67" s="580"/>
      <c r="N67" s="72"/>
      <c r="O67" s="72"/>
      <c r="P67" s="72"/>
      <c r="Q67" s="72"/>
      <c r="R67" s="72"/>
      <c r="S67" s="72">
        <f t="shared" ref="S67:S68" si="10">F67</f>
        <v>740804</v>
      </c>
      <c r="T67" s="72"/>
      <c r="U67" s="72"/>
      <c r="V67" s="72"/>
      <c r="W67" s="72"/>
    </row>
    <row r="68" spans="1:23" s="10" customFormat="1" ht="21.75" customHeight="1" x14ac:dyDescent="0.3">
      <c r="A68" s="30"/>
      <c r="B68" s="23" t="s">
        <v>354</v>
      </c>
      <c r="C68" s="195">
        <v>2627103596</v>
      </c>
      <c r="D68" s="202" t="s">
        <v>153</v>
      </c>
      <c r="E68" s="196">
        <v>46174</v>
      </c>
      <c r="F68" s="197">
        <v>770488</v>
      </c>
      <c r="G68" s="198" t="s">
        <v>154</v>
      </c>
      <c r="H68" s="314"/>
      <c r="I68" s="198" t="s">
        <v>155</v>
      </c>
      <c r="J68" s="237"/>
      <c r="K68" s="564"/>
      <c r="L68" s="72"/>
      <c r="M68" s="580"/>
      <c r="N68" s="72"/>
      <c r="O68" s="72"/>
      <c r="P68" s="72"/>
      <c r="Q68" s="72"/>
      <c r="R68" s="72"/>
      <c r="S68" s="72">
        <f t="shared" si="10"/>
        <v>770488</v>
      </c>
      <c r="T68" s="72"/>
      <c r="U68" s="72"/>
      <c r="V68" s="72"/>
      <c r="W68" s="72"/>
    </row>
    <row r="69" spans="1:23" s="10" customFormat="1" ht="21.75" customHeight="1" x14ac:dyDescent="0.3">
      <c r="A69" s="30"/>
      <c r="B69" s="21"/>
      <c r="C69" s="59"/>
      <c r="D69" s="62"/>
      <c r="E69" s="228" t="s">
        <v>356</v>
      </c>
      <c r="F69" s="73">
        <f>SUM(F66:F68)</f>
        <v>2201346</v>
      </c>
      <c r="G69" s="65"/>
      <c r="H69" s="73"/>
      <c r="I69" s="65"/>
      <c r="J69" s="237"/>
      <c r="K69" s="564"/>
      <c r="L69" s="72"/>
      <c r="M69" s="580"/>
      <c r="N69" s="72"/>
      <c r="O69" s="72"/>
      <c r="P69" s="72"/>
      <c r="Q69" s="72"/>
      <c r="R69" s="72"/>
      <c r="S69" s="72"/>
      <c r="T69" s="72"/>
      <c r="U69" s="72"/>
      <c r="V69" s="72"/>
      <c r="W69" s="72"/>
    </row>
    <row r="70" spans="1:23" s="10" customFormat="1" ht="15.6" x14ac:dyDescent="0.3">
      <c r="A70" s="30">
        <v>9</v>
      </c>
      <c r="B70" s="23" t="s">
        <v>357</v>
      </c>
      <c r="C70" s="195" t="s">
        <v>157</v>
      </c>
      <c r="D70" s="202" t="s">
        <v>158</v>
      </c>
      <c r="E70" s="196" t="s">
        <v>159</v>
      </c>
      <c r="F70" s="317">
        <v>700330</v>
      </c>
      <c r="G70" s="198" t="s">
        <v>34</v>
      </c>
      <c r="H70" s="317">
        <v>700330</v>
      </c>
      <c r="I70" s="29" t="s">
        <v>160</v>
      </c>
      <c r="J70" s="21"/>
      <c r="K70" s="564"/>
      <c r="L70" s="72"/>
      <c r="M70" s="580"/>
      <c r="N70" s="72"/>
      <c r="O70" s="72"/>
      <c r="P70" s="72"/>
      <c r="Q70" s="72">
        <f>H70</f>
        <v>700330</v>
      </c>
      <c r="R70" s="72"/>
      <c r="S70" s="72"/>
      <c r="T70" s="72"/>
      <c r="U70" s="72"/>
      <c r="V70" s="72"/>
      <c r="W70" s="72"/>
    </row>
    <row r="71" spans="1:23" s="10" customFormat="1" ht="27.6" x14ac:dyDescent="0.3">
      <c r="A71" s="30"/>
      <c r="B71" s="23" t="s">
        <v>357</v>
      </c>
      <c r="C71" s="195" t="s">
        <v>161</v>
      </c>
      <c r="D71" s="195" t="s">
        <v>162</v>
      </c>
      <c r="E71" s="196" t="s">
        <v>163</v>
      </c>
      <c r="F71" s="197">
        <v>624810</v>
      </c>
      <c r="G71" s="435" t="s">
        <v>28</v>
      </c>
      <c r="H71" s="197">
        <v>624810</v>
      </c>
      <c r="I71" s="29"/>
      <c r="J71" s="21"/>
      <c r="K71" s="564"/>
      <c r="L71" s="72"/>
      <c r="M71" s="580"/>
      <c r="N71" s="72"/>
      <c r="O71" s="72"/>
      <c r="P71" s="72"/>
      <c r="Q71" s="72">
        <f t="shared" ref="Q71:Q72" si="11">H71</f>
        <v>624810</v>
      </c>
      <c r="R71" s="72"/>
      <c r="S71" s="72"/>
      <c r="T71" s="72"/>
      <c r="U71" s="72"/>
      <c r="V71" s="72"/>
      <c r="W71" s="72"/>
    </row>
    <row r="72" spans="1:23" s="10" customFormat="1" ht="27.6" x14ac:dyDescent="0.3">
      <c r="A72" s="30"/>
      <c r="B72" s="23" t="s">
        <v>357</v>
      </c>
      <c r="C72" s="195" t="s">
        <v>164</v>
      </c>
      <c r="D72" s="195" t="s">
        <v>162</v>
      </c>
      <c r="E72" s="196" t="s">
        <v>165</v>
      </c>
      <c r="F72" s="197">
        <v>631300</v>
      </c>
      <c r="G72" s="435" t="s">
        <v>28</v>
      </c>
      <c r="H72" s="197">
        <v>631300</v>
      </c>
      <c r="I72" s="29"/>
      <c r="J72" s="21"/>
      <c r="K72" s="564"/>
      <c r="L72" s="72"/>
      <c r="M72" s="580"/>
      <c r="N72" s="72"/>
      <c r="O72" s="72"/>
      <c r="P72" s="72"/>
      <c r="Q72" s="72">
        <f t="shared" si="11"/>
        <v>631300</v>
      </c>
      <c r="R72" s="72"/>
      <c r="S72" s="72"/>
      <c r="T72" s="72"/>
      <c r="U72" s="72"/>
      <c r="V72" s="72"/>
      <c r="W72" s="72"/>
    </row>
    <row r="73" spans="1:23" s="10" customFormat="1" ht="15.6" x14ac:dyDescent="0.3">
      <c r="A73" s="400"/>
      <c r="B73" s="399"/>
      <c r="C73" s="143"/>
      <c r="D73" s="143"/>
      <c r="E73" s="228" t="s">
        <v>358</v>
      </c>
      <c r="F73" s="146">
        <f>SUM(F70:F72)</f>
        <v>1956440</v>
      </c>
      <c r="G73" s="436"/>
      <c r="H73" s="272"/>
      <c r="I73" s="437"/>
      <c r="J73" s="21"/>
      <c r="K73" s="564"/>
      <c r="L73" s="72"/>
      <c r="M73" s="580"/>
      <c r="N73" s="72"/>
      <c r="O73" s="72"/>
      <c r="P73" s="72"/>
      <c r="Q73" s="72"/>
      <c r="R73" s="72"/>
      <c r="S73" s="72"/>
      <c r="T73" s="72"/>
      <c r="U73" s="72"/>
      <c r="V73" s="72"/>
      <c r="W73" s="72"/>
    </row>
    <row r="74" spans="1:23" s="10" customFormat="1" ht="15.6" x14ac:dyDescent="0.3">
      <c r="A74" s="30">
        <v>10</v>
      </c>
      <c r="B74" s="27" t="s">
        <v>360</v>
      </c>
      <c r="C74" s="200">
        <v>46154</v>
      </c>
      <c r="D74" s="195"/>
      <c r="E74" s="208"/>
      <c r="F74" s="438">
        <v>329987</v>
      </c>
      <c r="G74" s="198" t="s">
        <v>34</v>
      </c>
      <c r="H74" s="211">
        <v>329987</v>
      </c>
      <c r="I74" s="29" t="s">
        <v>75</v>
      </c>
      <c r="J74" s="21"/>
      <c r="K74" s="564"/>
      <c r="L74" s="72"/>
      <c r="M74" s="580"/>
      <c r="N74" s="72"/>
      <c r="O74" s="72"/>
      <c r="P74" s="72"/>
      <c r="Q74" s="72">
        <f>H74</f>
        <v>329987</v>
      </c>
      <c r="R74" s="72"/>
      <c r="S74" s="72"/>
      <c r="T74" s="72"/>
      <c r="U74" s="72"/>
      <c r="V74" s="72"/>
      <c r="W74" s="72"/>
    </row>
    <row r="75" spans="1:23" s="10" customFormat="1" ht="3" customHeight="1" x14ac:dyDescent="0.3">
      <c r="A75" s="30"/>
      <c r="B75" s="27"/>
      <c r="C75" s="21"/>
      <c r="D75" s="21"/>
      <c r="E75" s="30"/>
      <c r="F75" s="77"/>
      <c r="G75" s="31"/>
      <c r="H75" s="77"/>
      <c r="I75" s="31"/>
      <c r="J75" s="21"/>
      <c r="K75" s="564"/>
      <c r="L75" s="72"/>
      <c r="M75" s="580"/>
      <c r="N75" s="72"/>
      <c r="O75" s="72"/>
      <c r="P75" s="72"/>
      <c r="Q75" s="72"/>
      <c r="R75" s="72"/>
      <c r="S75" s="72"/>
      <c r="T75" s="72"/>
      <c r="U75" s="72"/>
      <c r="V75" s="72"/>
      <c r="W75" s="72"/>
    </row>
    <row r="76" spans="1:23" s="10" customFormat="1" ht="15.6" x14ac:dyDescent="0.3">
      <c r="A76" s="30"/>
      <c r="B76" s="27"/>
      <c r="C76" s="21"/>
      <c r="D76" s="21"/>
      <c r="E76" s="30"/>
      <c r="F76" s="77">
        <f>F60+F65+F74+F69+F73</f>
        <v>209213732.05000001</v>
      </c>
      <c r="G76" s="31"/>
      <c r="H76" s="77"/>
      <c r="I76" s="31"/>
      <c r="J76" s="21"/>
      <c r="K76" s="564"/>
      <c r="L76" s="72"/>
      <c r="M76" s="580"/>
      <c r="N76" s="72"/>
      <c r="O76" s="72"/>
      <c r="P76" s="72"/>
      <c r="Q76" s="72"/>
      <c r="R76" s="72"/>
      <c r="S76" s="72"/>
      <c r="T76" s="72"/>
      <c r="U76" s="72"/>
      <c r="V76" s="72"/>
      <c r="W76" s="72"/>
    </row>
    <row r="77" spans="1:23" s="322" customFormat="1" ht="20.25" customHeight="1" x14ac:dyDescent="0.3">
      <c r="A77" s="148"/>
      <c r="B77" s="319"/>
      <c r="C77" s="256"/>
      <c r="D77" s="256"/>
      <c r="E77" s="303"/>
      <c r="F77" s="320"/>
      <c r="G77" s="321"/>
      <c r="H77" s="321"/>
      <c r="I77" s="321"/>
      <c r="J77" s="148"/>
      <c r="K77" s="160"/>
      <c r="L77" s="72"/>
      <c r="M77" s="580"/>
      <c r="N77" s="72"/>
      <c r="O77" s="72"/>
      <c r="P77" s="72"/>
      <c r="Q77" s="72"/>
      <c r="R77" s="72"/>
      <c r="S77" s="72"/>
      <c r="T77" s="72"/>
      <c r="U77" s="72"/>
      <c r="V77" s="72"/>
      <c r="W77" s="72"/>
    </row>
    <row r="78" spans="1:23" s="15" customFormat="1" ht="39.75" customHeight="1" x14ac:dyDescent="0.3">
      <c r="A78" s="32">
        <v>11</v>
      </c>
      <c r="B78" s="476" t="s">
        <v>362</v>
      </c>
      <c r="C78" s="23" t="s">
        <v>363</v>
      </c>
      <c r="D78" s="23"/>
      <c r="E78" s="324" t="s">
        <v>284</v>
      </c>
      <c r="F78" s="76"/>
      <c r="G78" s="33"/>
      <c r="H78" s="76"/>
      <c r="I78" s="33"/>
      <c r="J78" s="23"/>
      <c r="K78" s="572"/>
      <c r="L78" s="72"/>
      <c r="M78" s="580"/>
      <c r="N78" s="72"/>
      <c r="O78" s="72"/>
      <c r="P78" s="72"/>
      <c r="Q78" s="72"/>
      <c r="R78" s="72"/>
      <c r="S78" s="72"/>
      <c r="T78" s="72"/>
      <c r="U78" s="72"/>
      <c r="V78" s="72"/>
      <c r="W78" s="72"/>
    </row>
    <row r="79" spans="1:23" s="10" customFormat="1" ht="20.25" customHeight="1" x14ac:dyDescent="0.3">
      <c r="A79" s="614"/>
      <c r="B79" s="477" t="s">
        <v>362</v>
      </c>
      <c r="C79" s="209" t="s">
        <v>168</v>
      </c>
      <c r="D79" s="210">
        <v>45937</v>
      </c>
      <c r="E79" s="287">
        <f>F79-G79</f>
        <v>962891.60000000009</v>
      </c>
      <c r="F79" s="211">
        <v>1925783.6</v>
      </c>
      <c r="G79" s="415">
        <v>962892</v>
      </c>
      <c r="I79" s="212" t="s">
        <v>116</v>
      </c>
      <c r="J79" s="594" t="s">
        <v>169</v>
      </c>
      <c r="K79" s="564"/>
      <c r="L79" s="72"/>
      <c r="M79" s="580"/>
      <c r="N79" s="72"/>
      <c r="O79" s="72"/>
      <c r="P79" s="72"/>
      <c r="Q79" s="72"/>
      <c r="R79" s="72"/>
      <c r="S79" s="72"/>
      <c r="T79" s="72"/>
      <c r="U79" s="72"/>
      <c r="V79" s="72"/>
      <c r="W79" s="72"/>
    </row>
    <row r="80" spans="1:23" s="10" customFormat="1" ht="20.25" customHeight="1" x14ac:dyDescent="0.3">
      <c r="A80" s="614"/>
      <c r="B80" s="477" t="s">
        <v>362</v>
      </c>
      <c r="C80" s="209" t="s">
        <v>170</v>
      </c>
      <c r="D80" s="210">
        <v>45937</v>
      </c>
      <c r="E80" s="287">
        <f>F80-G80</f>
        <v>268714.36</v>
      </c>
      <c r="F80" s="211">
        <v>358285.36</v>
      </c>
      <c r="G80" s="415">
        <v>89571</v>
      </c>
      <c r="I80" s="212" t="s">
        <v>116</v>
      </c>
      <c r="J80" s="594"/>
      <c r="K80" s="564"/>
      <c r="L80" s="72"/>
      <c r="M80" s="580"/>
      <c r="N80" s="72"/>
      <c r="O80" s="72"/>
      <c r="P80" s="72"/>
      <c r="Q80" s="72"/>
      <c r="R80" s="72"/>
      <c r="S80" s="72"/>
      <c r="T80" s="72"/>
      <c r="U80" s="72"/>
      <c r="V80" s="72"/>
      <c r="W80" s="72"/>
    </row>
    <row r="81" spans="1:23" s="10" customFormat="1" ht="20.25" customHeight="1" x14ac:dyDescent="0.3">
      <c r="A81" s="614"/>
      <c r="B81" s="477" t="s">
        <v>362</v>
      </c>
      <c r="C81" s="209" t="s">
        <v>171</v>
      </c>
      <c r="D81" s="210">
        <v>45937</v>
      </c>
      <c r="E81" s="287">
        <f>F81-G81</f>
        <v>268713.36</v>
      </c>
      <c r="F81" s="211">
        <v>358285.36</v>
      </c>
      <c r="G81" s="415">
        <v>89572</v>
      </c>
      <c r="I81" s="212" t="s">
        <v>116</v>
      </c>
      <c r="J81" s="594"/>
      <c r="K81" s="564"/>
      <c r="L81" s="72"/>
      <c r="M81" s="580"/>
      <c r="N81" s="72"/>
      <c r="O81" s="72"/>
      <c r="P81" s="72"/>
      <c r="Q81" s="72"/>
      <c r="R81" s="72"/>
      <c r="S81" s="72"/>
      <c r="T81" s="72"/>
      <c r="U81" s="72"/>
      <c r="V81" s="72"/>
      <c r="W81" s="72"/>
    </row>
    <row r="82" spans="1:23" s="10" customFormat="1" ht="20.25" customHeight="1" x14ac:dyDescent="0.3">
      <c r="A82" s="614"/>
      <c r="B82" s="477" t="s">
        <v>362</v>
      </c>
      <c r="C82" s="209" t="s">
        <v>172</v>
      </c>
      <c r="D82" s="210">
        <v>45937</v>
      </c>
      <c r="E82" s="287">
        <f>F82-G82</f>
        <v>268713.36</v>
      </c>
      <c r="F82" s="211">
        <v>358285.36</v>
      </c>
      <c r="G82" s="415">
        <v>89572</v>
      </c>
      <c r="I82" s="212" t="s">
        <v>116</v>
      </c>
      <c r="J82" s="594"/>
      <c r="K82" s="564"/>
      <c r="L82" s="72"/>
      <c r="M82" s="580"/>
      <c r="N82" s="72"/>
      <c r="O82" s="72"/>
      <c r="P82" s="72"/>
      <c r="Q82" s="72"/>
      <c r="R82" s="72"/>
      <c r="S82" s="72"/>
      <c r="T82" s="72"/>
      <c r="U82" s="72"/>
      <c r="V82" s="72"/>
      <c r="W82" s="72"/>
    </row>
    <row r="83" spans="1:23" s="10" customFormat="1" ht="21.6" customHeight="1" x14ac:dyDescent="0.3">
      <c r="A83" s="30"/>
      <c r="B83" s="27"/>
      <c r="C83" s="19"/>
      <c r="D83" s="25"/>
      <c r="E83" s="288">
        <f>SUM(E79:E82)</f>
        <v>1769032.6799999997</v>
      </c>
      <c r="F83" s="77">
        <f>SUM(F79:F82)</f>
        <v>3000639.6799999997</v>
      </c>
      <c r="G83" s="29"/>
      <c r="H83" s="77"/>
      <c r="I83" s="31"/>
      <c r="J83" s="21"/>
      <c r="K83" s="564"/>
      <c r="L83" s="72"/>
      <c r="M83" s="580"/>
      <c r="N83" s="72"/>
      <c r="O83" s="72"/>
      <c r="P83" s="72"/>
      <c r="Q83" s="72"/>
      <c r="R83" s="72"/>
      <c r="S83" s="72"/>
      <c r="T83" s="72"/>
      <c r="U83" s="72"/>
      <c r="V83" s="72"/>
      <c r="W83" s="72"/>
    </row>
    <row r="84" spans="1:23" s="10" customFormat="1" ht="21.6" hidden="1" customHeight="1" x14ac:dyDescent="0.3">
      <c r="A84" s="30"/>
      <c r="B84" s="27"/>
      <c r="C84" s="19"/>
      <c r="D84" s="25"/>
      <c r="E84" s="68"/>
      <c r="F84" s="77"/>
      <c r="G84" s="29"/>
      <c r="H84" s="77"/>
      <c r="I84" s="31"/>
      <c r="J84" s="21"/>
      <c r="K84" s="564"/>
      <c r="L84" s="72"/>
      <c r="M84" s="580"/>
      <c r="N84" s="72"/>
      <c r="O84" s="72"/>
      <c r="P84" s="72"/>
      <c r="Q84" s="72"/>
      <c r="R84" s="72"/>
      <c r="S84" s="72"/>
      <c r="T84" s="72"/>
      <c r="U84" s="72"/>
      <c r="V84" s="72"/>
      <c r="W84" s="72"/>
    </row>
    <row r="85" spans="1:23" s="10" customFormat="1" ht="21.6" hidden="1" customHeight="1" x14ac:dyDescent="0.3">
      <c r="A85" s="30"/>
      <c r="B85" s="27"/>
      <c r="C85" s="19"/>
      <c r="D85" s="25"/>
      <c r="E85" s="68"/>
      <c r="F85" s="77"/>
      <c r="G85" s="29"/>
      <c r="H85" s="77"/>
      <c r="I85" s="31"/>
      <c r="J85" s="21"/>
      <c r="K85" s="564"/>
      <c r="L85" s="72"/>
      <c r="M85" s="580"/>
      <c r="N85" s="72"/>
      <c r="O85" s="72"/>
      <c r="P85" s="72"/>
      <c r="Q85" s="72"/>
      <c r="R85" s="72"/>
      <c r="S85" s="72"/>
      <c r="T85" s="72"/>
      <c r="U85" s="72"/>
      <c r="V85" s="72"/>
      <c r="W85" s="72"/>
    </row>
    <row r="86" spans="1:23" s="10" customFormat="1" ht="21.6" hidden="1" customHeight="1" x14ac:dyDescent="0.3">
      <c r="A86" s="30"/>
      <c r="B86" s="27"/>
      <c r="C86" s="19"/>
      <c r="D86" s="25"/>
      <c r="E86" s="68"/>
      <c r="F86" s="77"/>
      <c r="G86" s="29"/>
      <c r="H86" s="77"/>
      <c r="I86" s="31"/>
      <c r="J86" s="21"/>
      <c r="K86" s="564"/>
      <c r="L86" s="72"/>
      <c r="M86" s="580"/>
      <c r="N86" s="72"/>
      <c r="O86" s="72"/>
      <c r="P86" s="72"/>
      <c r="Q86" s="72"/>
      <c r="R86" s="72"/>
      <c r="S86" s="72"/>
      <c r="T86" s="72"/>
      <c r="U86" s="72"/>
      <c r="V86" s="72"/>
      <c r="W86" s="72"/>
    </row>
    <row r="87" spans="1:23" s="10" customFormat="1" ht="21.6" hidden="1" customHeight="1" x14ac:dyDescent="0.3">
      <c r="A87" s="30"/>
      <c r="B87" s="27"/>
      <c r="C87" s="19"/>
      <c r="D87" s="25"/>
      <c r="E87" s="68"/>
      <c r="F87" s="77"/>
      <c r="G87" s="29"/>
      <c r="H87" s="77"/>
      <c r="I87" s="31"/>
      <c r="J87" s="21"/>
      <c r="K87" s="564"/>
      <c r="L87" s="72"/>
      <c r="M87" s="580"/>
      <c r="N87" s="72"/>
      <c r="O87" s="72"/>
      <c r="P87" s="72"/>
      <c r="Q87" s="72"/>
      <c r="R87" s="72"/>
      <c r="S87" s="72"/>
      <c r="T87" s="72"/>
      <c r="U87" s="72"/>
      <c r="V87" s="72"/>
      <c r="W87" s="72"/>
    </row>
    <row r="88" spans="1:23" s="10" customFormat="1" ht="21.6" hidden="1" customHeight="1" x14ac:dyDescent="0.3">
      <c r="A88" s="30"/>
      <c r="B88" s="27"/>
      <c r="C88" s="19"/>
      <c r="D88" s="25"/>
      <c r="E88" s="68"/>
      <c r="F88" s="77"/>
      <c r="G88" s="29"/>
      <c r="H88" s="77"/>
      <c r="I88" s="31"/>
      <c r="J88" s="21"/>
      <c r="K88" s="564"/>
      <c r="L88" s="72"/>
      <c r="M88" s="580"/>
      <c r="N88" s="72"/>
      <c r="O88" s="72"/>
      <c r="P88" s="72"/>
      <c r="Q88" s="72"/>
      <c r="R88" s="72"/>
      <c r="S88" s="72"/>
      <c r="T88" s="72"/>
      <c r="U88" s="72"/>
      <c r="V88" s="72"/>
      <c r="W88" s="72"/>
    </row>
    <row r="89" spans="1:23" s="10" customFormat="1" ht="21.6" hidden="1" customHeight="1" x14ac:dyDescent="0.3">
      <c r="A89" s="30"/>
      <c r="B89" s="27"/>
      <c r="C89" s="19"/>
      <c r="D89" s="25"/>
      <c r="E89" s="68"/>
      <c r="F89" s="77"/>
      <c r="G89" s="29"/>
      <c r="H89" s="77"/>
      <c r="I89" s="31"/>
      <c r="J89" s="21"/>
      <c r="K89" s="564"/>
      <c r="L89" s="72"/>
      <c r="M89" s="580"/>
      <c r="N89" s="72"/>
      <c r="O89" s="72"/>
      <c r="P89" s="72"/>
      <c r="Q89" s="72"/>
      <c r="R89" s="72"/>
      <c r="S89" s="72"/>
      <c r="T89" s="72"/>
      <c r="U89" s="72"/>
      <c r="V89" s="72"/>
      <c r="W89" s="72"/>
    </row>
    <row r="90" spans="1:23" s="10" customFormat="1" ht="21.6" hidden="1" customHeight="1" x14ac:dyDescent="0.3">
      <c r="A90" s="30"/>
      <c r="B90" s="27"/>
      <c r="C90" s="19"/>
      <c r="D90" s="25"/>
      <c r="E90" s="68"/>
      <c r="F90" s="77"/>
      <c r="G90" s="29"/>
      <c r="H90" s="77"/>
      <c r="I90" s="31"/>
      <c r="J90" s="21"/>
      <c r="K90" s="564"/>
      <c r="L90" s="72"/>
      <c r="M90" s="580"/>
      <c r="N90" s="72"/>
      <c r="O90" s="72"/>
      <c r="P90" s="72"/>
      <c r="Q90" s="72"/>
      <c r="R90" s="72"/>
      <c r="S90" s="72"/>
      <c r="T90" s="72"/>
      <c r="U90" s="72"/>
      <c r="V90" s="72"/>
      <c r="W90" s="72"/>
    </row>
    <row r="91" spans="1:23" s="10" customFormat="1" ht="21.6" hidden="1" customHeight="1" x14ac:dyDescent="0.3">
      <c r="A91" s="30"/>
      <c r="B91" s="27"/>
      <c r="C91" s="19"/>
      <c r="D91" s="25"/>
      <c r="E91" s="68"/>
      <c r="F91" s="77"/>
      <c r="G91" s="29"/>
      <c r="H91" s="77"/>
      <c r="I91" s="31"/>
      <c r="J91" s="21"/>
      <c r="K91" s="564"/>
      <c r="L91" s="72"/>
      <c r="M91" s="580"/>
      <c r="N91" s="72"/>
      <c r="O91" s="72"/>
      <c r="P91" s="72"/>
      <c r="Q91" s="72"/>
      <c r="R91" s="72"/>
      <c r="S91" s="72"/>
      <c r="T91" s="72"/>
      <c r="U91" s="72"/>
      <c r="V91" s="72"/>
      <c r="W91" s="72"/>
    </row>
    <row r="92" spans="1:23" s="10" customFormat="1" ht="21.6" hidden="1" customHeight="1" x14ac:dyDescent="0.3">
      <c r="A92" s="30"/>
      <c r="B92" s="27"/>
      <c r="C92" s="19"/>
      <c r="D92" s="25"/>
      <c r="E92" s="68"/>
      <c r="F92" s="77"/>
      <c r="G92" s="29"/>
      <c r="H92" s="77"/>
      <c r="I92" s="31"/>
      <c r="J92" s="21"/>
      <c r="K92" s="564"/>
      <c r="L92" s="72"/>
      <c r="M92" s="580"/>
      <c r="N92" s="72"/>
      <c r="O92" s="72"/>
      <c r="P92" s="72"/>
      <c r="Q92" s="72"/>
      <c r="R92" s="72"/>
      <c r="S92" s="72"/>
      <c r="T92" s="72"/>
      <c r="U92" s="72"/>
      <c r="V92" s="72"/>
      <c r="W92" s="72"/>
    </row>
    <row r="94" spans="1:23" ht="15.6" x14ac:dyDescent="0.3">
      <c r="A94" s="336"/>
      <c r="B94" s="337"/>
      <c r="C94" s="338" t="s">
        <v>285</v>
      </c>
      <c r="D94" s="337"/>
      <c r="E94" s="336"/>
      <c r="F94" s="388">
        <f>F76</f>
        <v>209213732.05000001</v>
      </c>
      <c r="G94" s="336"/>
      <c r="H94" s="386">
        <f>SUM(H3:H93)</f>
        <v>141591077.05000001</v>
      </c>
      <c r="I94" s="336"/>
      <c r="J94" s="337"/>
      <c r="K94" s="336"/>
      <c r="L94" s="336"/>
      <c r="M94" s="336"/>
      <c r="N94" s="337"/>
      <c r="O94" s="337"/>
      <c r="P94" s="337"/>
      <c r="Q94" s="337"/>
      <c r="R94" s="337"/>
      <c r="S94" s="337"/>
      <c r="T94" s="337"/>
      <c r="U94" s="337"/>
      <c r="V94" s="337"/>
      <c r="W94" s="337"/>
    </row>
    <row r="95" spans="1:23" ht="30" x14ac:dyDescent="0.3">
      <c r="A95" s="32">
        <v>12</v>
      </c>
      <c r="B95" s="23" t="s">
        <v>173</v>
      </c>
      <c r="C95" s="195" t="s">
        <v>174</v>
      </c>
      <c r="D95" s="202" t="s">
        <v>148</v>
      </c>
      <c r="E95" s="195"/>
      <c r="F95" s="197">
        <v>2086240</v>
      </c>
      <c r="G95" s="198" t="s">
        <v>175</v>
      </c>
      <c r="H95" s="195"/>
      <c r="I95" s="195"/>
      <c r="K95" s="160">
        <f>F95</f>
        <v>2086240</v>
      </c>
      <c r="L95" s="84"/>
      <c r="M95" s="585"/>
      <c r="N95" s="84"/>
    </row>
    <row r="96" spans="1:23" s="10" customFormat="1" ht="21.6" customHeight="1" x14ac:dyDescent="0.3">
      <c r="A96" s="32">
        <v>13</v>
      </c>
      <c r="B96" s="23" t="s">
        <v>287</v>
      </c>
      <c r="C96" s="196" t="s">
        <v>20</v>
      </c>
      <c r="D96" s="202" t="s">
        <v>177</v>
      </c>
      <c r="E96" s="195"/>
      <c r="F96" s="197">
        <v>2500000</v>
      </c>
      <c r="G96" s="198" t="s">
        <v>34</v>
      </c>
      <c r="H96" s="195">
        <f>F96</f>
        <v>2500000</v>
      </c>
      <c r="I96" s="195" t="s">
        <v>153</v>
      </c>
      <c r="J96" s="237"/>
      <c r="K96" s="564"/>
      <c r="L96" s="72"/>
      <c r="M96" s="580"/>
      <c r="N96" s="72"/>
      <c r="O96" s="72"/>
      <c r="P96" s="72"/>
      <c r="Q96" s="72"/>
      <c r="R96" s="72"/>
      <c r="S96" s="72">
        <f>F96</f>
        <v>2500000</v>
      </c>
      <c r="T96" s="72"/>
      <c r="U96" s="72"/>
      <c r="V96" s="72"/>
      <c r="W96" s="72"/>
    </row>
    <row r="97" spans="1:23" s="10" customFormat="1" ht="21.6" customHeight="1" x14ac:dyDescent="0.3">
      <c r="A97" s="64"/>
      <c r="B97" s="23" t="s">
        <v>287</v>
      </c>
      <c r="C97" s="195" t="s">
        <v>16</v>
      </c>
      <c r="D97" s="202"/>
      <c r="E97" s="195"/>
      <c r="F97" s="197">
        <v>500000</v>
      </c>
      <c r="G97" s="198" t="s">
        <v>34</v>
      </c>
      <c r="H97" s="195">
        <f>F97</f>
        <v>500000</v>
      </c>
      <c r="I97" s="195" t="s">
        <v>153</v>
      </c>
      <c r="J97" s="237"/>
      <c r="K97" s="564"/>
      <c r="L97" s="72"/>
      <c r="M97" s="580"/>
      <c r="N97" s="72"/>
      <c r="O97" s="72"/>
      <c r="P97" s="72"/>
      <c r="Q97" s="72"/>
      <c r="R97" s="72"/>
      <c r="S97" s="72"/>
      <c r="T97" s="72">
        <f>F97</f>
        <v>500000</v>
      </c>
      <c r="U97" s="72"/>
      <c r="V97" s="72"/>
      <c r="W97" s="72"/>
    </row>
    <row r="98" spans="1:23" s="10" customFormat="1" ht="21.6" customHeight="1" x14ac:dyDescent="0.3">
      <c r="A98" s="64"/>
      <c r="B98" s="63"/>
      <c r="C98" s="59"/>
      <c r="D98" s="62"/>
      <c r="E98" s="64"/>
      <c r="F98" s="73">
        <f>SUM(F95:F97)</f>
        <v>5086240</v>
      </c>
      <c r="G98" s="65"/>
      <c r="H98" s="73"/>
      <c r="I98" s="65"/>
      <c r="J98" s="237"/>
      <c r="K98" s="564"/>
      <c r="L98" s="72"/>
      <c r="M98" s="580"/>
      <c r="N98" s="72"/>
      <c r="O98" s="72"/>
      <c r="P98" s="72"/>
      <c r="Q98" s="72"/>
      <c r="R98" s="72"/>
      <c r="S98" s="72"/>
      <c r="T98" s="72"/>
      <c r="U98" s="72"/>
      <c r="V98" s="72"/>
      <c r="W98" s="72"/>
    </row>
    <row r="99" spans="1:23" s="10" customFormat="1" ht="21.6" customHeight="1" x14ac:dyDescent="0.3">
      <c r="A99" s="607">
        <v>14</v>
      </c>
      <c r="B99" s="112" t="s">
        <v>364</v>
      </c>
      <c r="C99" s="195" t="s">
        <v>179</v>
      </c>
      <c r="D99" s="210">
        <v>45775</v>
      </c>
      <c r="E99" s="195"/>
      <c r="F99" s="197">
        <v>39618000</v>
      </c>
      <c r="G99" s="198" t="s">
        <v>34</v>
      </c>
      <c r="H99" s="387">
        <f>F99</f>
        <v>39618000</v>
      </c>
      <c r="I99" s="195" t="s">
        <v>180</v>
      </c>
      <c r="J99" s="237"/>
      <c r="K99" s="564"/>
      <c r="L99" s="72"/>
      <c r="M99" s="580"/>
      <c r="N99" s="72"/>
      <c r="O99" s="72"/>
      <c r="P99" s="72">
        <f>F99</f>
        <v>39618000</v>
      </c>
      <c r="Q99" s="72"/>
      <c r="R99" s="72"/>
      <c r="S99" s="72"/>
      <c r="T99" s="72"/>
      <c r="U99" s="72"/>
      <c r="V99" s="72"/>
      <c r="W99" s="72"/>
    </row>
    <row r="100" spans="1:23" s="10" customFormat="1" ht="21" customHeight="1" x14ac:dyDescent="0.3">
      <c r="A100" s="607"/>
      <c r="B100" s="112" t="s">
        <v>364</v>
      </c>
      <c r="C100" s="195" t="s">
        <v>181</v>
      </c>
      <c r="D100" s="210">
        <v>46167</v>
      </c>
      <c r="E100" s="195"/>
      <c r="F100" s="197">
        <v>15166000</v>
      </c>
      <c r="G100" s="198" t="s">
        <v>34</v>
      </c>
      <c r="H100" s="387">
        <f>F100</f>
        <v>15166000</v>
      </c>
      <c r="I100" s="195" t="s">
        <v>180</v>
      </c>
      <c r="J100" s="237"/>
      <c r="K100" s="564"/>
      <c r="L100" s="72"/>
      <c r="M100" s="580"/>
      <c r="N100" s="72"/>
      <c r="O100" s="72"/>
      <c r="P100" s="72"/>
      <c r="Q100" s="72">
        <f>F100</f>
        <v>15166000</v>
      </c>
      <c r="R100" s="72"/>
      <c r="S100" s="72"/>
      <c r="T100" s="72"/>
      <c r="U100" s="72"/>
      <c r="V100" s="72"/>
      <c r="W100" s="72"/>
    </row>
    <row r="101" spans="1:23" s="10" customFormat="1" ht="21.6" customHeight="1" x14ac:dyDescent="0.3">
      <c r="A101" s="64"/>
      <c r="B101" s="112" t="s">
        <v>364</v>
      </c>
      <c r="C101" s="195" t="s">
        <v>291</v>
      </c>
      <c r="D101" s="210"/>
      <c r="E101" s="195"/>
      <c r="F101" s="197">
        <f>350000-350000</f>
        <v>0</v>
      </c>
      <c r="G101" s="195"/>
      <c r="H101" s="195"/>
      <c r="I101" s="195"/>
      <c r="J101" s="237"/>
      <c r="K101" s="564"/>
      <c r="L101" s="72"/>
      <c r="M101" s="580"/>
      <c r="N101" s="72"/>
      <c r="O101" s="72"/>
      <c r="P101" s="72"/>
      <c r="Q101" s="72"/>
      <c r="R101" s="72"/>
      <c r="S101" s="72"/>
      <c r="T101" s="72"/>
      <c r="U101" s="72"/>
      <c r="V101" s="72"/>
      <c r="W101" s="72"/>
    </row>
    <row r="102" spans="1:23" s="10" customFormat="1" ht="21.6" customHeight="1" x14ac:dyDescent="0.3">
      <c r="A102" s="64"/>
      <c r="B102" s="27"/>
      <c r="C102" s="195"/>
      <c r="D102" s="210"/>
      <c r="E102" s="195"/>
      <c r="F102" s="314">
        <f>SUM(F99:F101)</f>
        <v>54784000</v>
      </c>
      <c r="G102" s="195"/>
      <c r="H102" s="195"/>
      <c r="I102" s="195"/>
      <c r="J102" s="237"/>
      <c r="K102" s="564"/>
      <c r="L102" s="72"/>
      <c r="M102" s="580"/>
      <c r="N102" s="72"/>
      <c r="O102" s="72"/>
      <c r="P102" s="72"/>
      <c r="Q102" s="72"/>
      <c r="R102" s="72"/>
      <c r="S102" s="72"/>
      <c r="T102" s="72"/>
      <c r="U102" s="72"/>
      <c r="V102" s="72"/>
      <c r="W102" s="72"/>
    </row>
    <row r="103" spans="1:23" s="10" customFormat="1" ht="21.6" customHeight="1" x14ac:dyDescent="0.3">
      <c r="A103" s="30">
        <v>15</v>
      </c>
      <c r="B103" s="23" t="s">
        <v>374</v>
      </c>
      <c r="C103" s="195" t="s">
        <v>183</v>
      </c>
      <c r="D103" s="195" t="s">
        <v>140</v>
      </c>
      <c r="E103" s="195" t="s">
        <v>184</v>
      </c>
      <c r="F103" s="195">
        <v>30400000</v>
      </c>
      <c r="G103" s="195" t="s">
        <v>34</v>
      </c>
      <c r="H103" s="195">
        <v>30400000</v>
      </c>
      <c r="I103" s="195" t="s">
        <v>140</v>
      </c>
      <c r="J103" s="237"/>
      <c r="K103" s="564"/>
      <c r="L103" s="72"/>
      <c r="M103" s="580"/>
      <c r="N103" s="72"/>
      <c r="O103" s="72"/>
      <c r="P103" s="72"/>
      <c r="Q103" s="72"/>
      <c r="R103" s="72"/>
      <c r="S103" s="72"/>
      <c r="T103" s="72"/>
      <c r="U103" s="72"/>
      <c r="V103" s="72"/>
      <c r="W103" s="72">
        <f>H103</f>
        <v>30400000</v>
      </c>
    </row>
    <row r="104" spans="1:23" s="10" customFormat="1" ht="21.6" customHeight="1" x14ac:dyDescent="0.3">
      <c r="A104" s="30"/>
      <c r="B104" s="23" t="s">
        <v>374</v>
      </c>
      <c r="C104" s="195"/>
      <c r="D104" s="195"/>
      <c r="E104" s="195" t="s">
        <v>185</v>
      </c>
      <c r="F104" s="195">
        <v>30400000</v>
      </c>
      <c r="G104" s="195" t="s">
        <v>34</v>
      </c>
      <c r="H104" s="195">
        <v>30400000</v>
      </c>
      <c r="I104" s="195" t="s">
        <v>140</v>
      </c>
      <c r="J104" s="237"/>
      <c r="K104" s="564"/>
      <c r="L104" s="72"/>
      <c r="M104" s="580"/>
      <c r="N104" s="72"/>
      <c r="O104" s="72"/>
      <c r="P104" s="72"/>
      <c r="Q104" s="72"/>
      <c r="R104" s="72"/>
      <c r="S104" s="72"/>
      <c r="T104" s="72"/>
      <c r="U104" s="72"/>
      <c r="V104" s="72"/>
      <c r="W104" s="72">
        <f t="shared" ref="W104:W115" si="12">H104</f>
        <v>30400000</v>
      </c>
    </row>
    <row r="105" spans="1:23" s="10" customFormat="1" ht="21.6" customHeight="1" x14ac:dyDescent="0.3">
      <c r="A105" s="30"/>
      <c r="B105" s="23" t="s">
        <v>374</v>
      </c>
      <c r="C105" s="195"/>
      <c r="D105" s="195"/>
      <c r="E105" s="195" t="s">
        <v>186</v>
      </c>
      <c r="F105" s="195">
        <v>30400000</v>
      </c>
      <c r="G105" s="195" t="s">
        <v>34</v>
      </c>
      <c r="H105" s="195">
        <v>30400000</v>
      </c>
      <c r="I105" s="195" t="s">
        <v>140</v>
      </c>
      <c r="J105" s="237"/>
      <c r="K105" s="564"/>
      <c r="L105" s="72"/>
      <c r="M105" s="580"/>
      <c r="N105" s="72"/>
      <c r="O105" s="72"/>
      <c r="P105" s="72"/>
      <c r="Q105" s="72"/>
      <c r="R105" s="72"/>
      <c r="S105" s="72"/>
      <c r="T105" s="72"/>
      <c r="U105" s="72"/>
      <c r="V105" s="72"/>
      <c r="W105" s="72">
        <f t="shared" si="12"/>
        <v>30400000</v>
      </c>
    </row>
    <row r="106" spans="1:23" s="10" customFormat="1" ht="21.6" customHeight="1" x14ac:dyDescent="0.3">
      <c r="A106" s="30"/>
      <c r="B106" s="23" t="s">
        <v>374</v>
      </c>
      <c r="C106" s="195"/>
      <c r="D106" s="195"/>
      <c r="E106" s="195" t="s">
        <v>187</v>
      </c>
      <c r="F106" s="195">
        <v>30400000</v>
      </c>
      <c r="G106" s="195" t="s">
        <v>34</v>
      </c>
      <c r="H106" s="195">
        <v>30400000</v>
      </c>
      <c r="I106" s="195" t="s">
        <v>140</v>
      </c>
      <c r="J106" s="237"/>
      <c r="K106" s="564"/>
      <c r="L106" s="72"/>
      <c r="M106" s="580"/>
      <c r="N106" s="72"/>
      <c r="O106" s="72"/>
      <c r="P106" s="72"/>
      <c r="Q106" s="72"/>
      <c r="R106" s="72"/>
      <c r="S106" s="72"/>
      <c r="T106" s="72"/>
      <c r="U106" s="72"/>
      <c r="V106" s="72"/>
      <c r="W106" s="72">
        <f t="shared" si="12"/>
        <v>30400000</v>
      </c>
    </row>
    <row r="107" spans="1:23" s="10" customFormat="1" ht="21.6" customHeight="1" x14ac:dyDescent="0.3">
      <c r="A107" s="30"/>
      <c r="B107" s="23" t="s">
        <v>374</v>
      </c>
      <c r="C107" s="195"/>
      <c r="D107" s="195"/>
      <c r="E107" s="195" t="s">
        <v>188</v>
      </c>
      <c r="F107" s="195">
        <v>30400000</v>
      </c>
      <c r="G107" s="195" t="s">
        <v>34</v>
      </c>
      <c r="H107" s="195">
        <v>30400000</v>
      </c>
      <c r="I107" s="195" t="s">
        <v>140</v>
      </c>
      <c r="J107" s="237"/>
      <c r="K107" s="564"/>
      <c r="L107" s="72"/>
      <c r="M107" s="580"/>
      <c r="N107" s="72"/>
      <c r="O107" s="72"/>
      <c r="P107" s="72"/>
      <c r="Q107" s="72"/>
      <c r="R107" s="72"/>
      <c r="S107" s="72"/>
      <c r="T107" s="72"/>
      <c r="U107" s="72"/>
      <c r="V107" s="72"/>
      <c r="W107" s="72">
        <f t="shared" si="12"/>
        <v>30400000</v>
      </c>
    </row>
    <row r="108" spans="1:23" s="10" customFormat="1" ht="21.6" customHeight="1" x14ac:dyDescent="0.3">
      <c r="A108" s="30"/>
      <c r="B108" s="23" t="s">
        <v>374</v>
      </c>
      <c r="C108" s="195"/>
      <c r="D108" s="195"/>
      <c r="E108" s="195" t="s">
        <v>189</v>
      </c>
      <c r="F108" s="195">
        <v>30400000</v>
      </c>
      <c r="G108" s="195" t="s">
        <v>34</v>
      </c>
      <c r="H108" s="195">
        <v>30400000</v>
      </c>
      <c r="I108" s="195" t="s">
        <v>140</v>
      </c>
      <c r="J108" s="237"/>
      <c r="K108" s="564"/>
      <c r="L108" s="72"/>
      <c r="M108" s="580"/>
      <c r="N108" s="72"/>
      <c r="O108" s="72"/>
      <c r="P108" s="72"/>
      <c r="Q108" s="72"/>
      <c r="R108" s="72"/>
      <c r="S108" s="72"/>
      <c r="T108" s="72"/>
      <c r="U108" s="72"/>
      <c r="V108" s="72"/>
      <c r="W108" s="72">
        <f t="shared" si="12"/>
        <v>30400000</v>
      </c>
    </row>
    <row r="109" spans="1:23" s="10" customFormat="1" ht="21.6" customHeight="1" x14ac:dyDescent="0.3">
      <c r="A109" s="30"/>
      <c r="B109" s="23" t="s">
        <v>374</v>
      </c>
      <c r="C109" s="195"/>
      <c r="D109" s="195"/>
      <c r="E109" s="195" t="s">
        <v>190</v>
      </c>
      <c r="F109" s="195">
        <v>30400000</v>
      </c>
      <c r="G109" s="195" t="s">
        <v>34</v>
      </c>
      <c r="H109" s="195">
        <v>30400000</v>
      </c>
      <c r="I109" s="195" t="s">
        <v>140</v>
      </c>
      <c r="J109" s="237"/>
      <c r="K109" s="564"/>
      <c r="L109" s="72"/>
      <c r="M109" s="580"/>
      <c r="N109" s="72"/>
      <c r="O109" s="72"/>
      <c r="P109" s="72"/>
      <c r="Q109" s="72"/>
      <c r="R109" s="72"/>
      <c r="S109" s="72"/>
      <c r="T109" s="72"/>
      <c r="U109" s="72"/>
      <c r="V109" s="72"/>
      <c r="W109" s="72">
        <f t="shared" si="12"/>
        <v>30400000</v>
      </c>
    </row>
    <row r="110" spans="1:23" s="10" customFormat="1" ht="21.6" customHeight="1" x14ac:dyDescent="0.3">
      <c r="A110" s="30"/>
      <c r="B110" s="23" t="s">
        <v>374</v>
      </c>
      <c r="C110" s="195"/>
      <c r="D110" s="195"/>
      <c r="E110" s="195" t="s">
        <v>191</v>
      </c>
      <c r="F110" s="195">
        <v>30400000</v>
      </c>
      <c r="G110" s="195" t="s">
        <v>34</v>
      </c>
      <c r="H110" s="195">
        <v>30400000</v>
      </c>
      <c r="I110" s="195" t="s">
        <v>140</v>
      </c>
      <c r="J110" s="237"/>
      <c r="K110" s="564"/>
      <c r="L110" s="72"/>
      <c r="M110" s="580"/>
      <c r="N110" s="72"/>
      <c r="O110" s="72"/>
      <c r="P110" s="72"/>
      <c r="Q110" s="72"/>
      <c r="R110" s="72"/>
      <c r="S110" s="72"/>
      <c r="T110" s="72"/>
      <c r="U110" s="72"/>
      <c r="V110" s="72"/>
      <c r="W110" s="72">
        <f t="shared" si="12"/>
        <v>30400000</v>
      </c>
    </row>
    <row r="111" spans="1:23" s="10" customFormat="1" ht="21.6" customHeight="1" x14ac:dyDescent="0.3">
      <c r="A111" s="30"/>
      <c r="B111" s="23" t="s">
        <v>374</v>
      </c>
      <c r="C111" s="195"/>
      <c r="D111" s="195"/>
      <c r="E111" s="195" t="s">
        <v>192</v>
      </c>
      <c r="F111" s="195">
        <v>30400000</v>
      </c>
      <c r="G111" s="195" t="s">
        <v>34</v>
      </c>
      <c r="H111" s="195">
        <v>30400000</v>
      </c>
      <c r="I111" s="195" t="s">
        <v>140</v>
      </c>
      <c r="J111" s="237"/>
      <c r="K111" s="564"/>
      <c r="L111" s="72"/>
      <c r="M111" s="580"/>
      <c r="N111" s="72"/>
      <c r="O111" s="72"/>
      <c r="P111" s="72"/>
      <c r="Q111" s="72"/>
      <c r="R111" s="72"/>
      <c r="S111" s="72"/>
      <c r="T111" s="72"/>
      <c r="U111" s="72"/>
      <c r="V111" s="72"/>
      <c r="W111" s="72">
        <f t="shared" si="12"/>
        <v>30400000</v>
      </c>
    </row>
    <row r="112" spans="1:23" s="10" customFormat="1" ht="21.6" customHeight="1" x14ac:dyDescent="0.3">
      <c r="A112" s="30"/>
      <c r="B112" s="23" t="s">
        <v>374</v>
      </c>
      <c r="C112" s="195"/>
      <c r="D112" s="195"/>
      <c r="E112" s="195" t="s">
        <v>193</v>
      </c>
      <c r="F112" s="195">
        <v>30400000</v>
      </c>
      <c r="G112" s="195" t="s">
        <v>34</v>
      </c>
      <c r="H112" s="195">
        <v>30400000</v>
      </c>
      <c r="I112" s="195" t="s">
        <v>140</v>
      </c>
      <c r="J112" s="237"/>
      <c r="K112" s="564"/>
      <c r="L112" s="72"/>
      <c r="M112" s="580"/>
      <c r="N112" s="72"/>
      <c r="O112" s="72"/>
      <c r="P112" s="72"/>
      <c r="Q112" s="72"/>
      <c r="R112" s="72"/>
      <c r="S112" s="72"/>
      <c r="T112" s="72"/>
      <c r="U112" s="72"/>
      <c r="V112" s="72"/>
      <c r="W112" s="72">
        <f t="shared" si="12"/>
        <v>30400000</v>
      </c>
    </row>
    <row r="113" spans="1:23" s="10" customFormat="1" ht="21.6" customHeight="1" x14ac:dyDescent="0.3">
      <c r="A113" s="30"/>
      <c r="B113" s="23" t="s">
        <v>374</v>
      </c>
      <c r="C113" s="195"/>
      <c r="D113" s="195"/>
      <c r="E113" s="195" t="s">
        <v>194</v>
      </c>
      <c r="F113" s="195">
        <v>15200000</v>
      </c>
      <c r="G113" s="195" t="s">
        <v>34</v>
      </c>
      <c r="H113" s="195">
        <v>15200000</v>
      </c>
      <c r="I113" s="195" t="s">
        <v>140</v>
      </c>
      <c r="J113" s="237"/>
      <c r="K113" s="564"/>
      <c r="L113" s="72"/>
      <c r="M113" s="580"/>
      <c r="N113" s="72"/>
      <c r="O113" s="72"/>
      <c r="P113" s="72"/>
      <c r="Q113" s="72"/>
      <c r="R113" s="72"/>
      <c r="S113" s="72"/>
      <c r="T113" s="72"/>
      <c r="U113" s="72"/>
      <c r="V113" s="72"/>
      <c r="W113" s="72">
        <f t="shared" si="12"/>
        <v>15200000</v>
      </c>
    </row>
    <row r="114" spans="1:23" s="10" customFormat="1" ht="21.6" customHeight="1" x14ac:dyDescent="0.3">
      <c r="A114" s="30"/>
      <c r="B114" s="23" t="s">
        <v>374</v>
      </c>
      <c r="C114" s="195"/>
      <c r="D114" s="195"/>
      <c r="E114" s="195" t="s">
        <v>195</v>
      </c>
      <c r="F114" s="195">
        <v>15200000</v>
      </c>
      <c r="G114" s="195" t="s">
        <v>34</v>
      </c>
      <c r="H114" s="195">
        <v>15200000</v>
      </c>
      <c r="I114" s="195" t="s">
        <v>140</v>
      </c>
      <c r="J114" s="237"/>
      <c r="K114" s="564"/>
      <c r="L114" s="72"/>
      <c r="M114" s="580"/>
      <c r="N114" s="72"/>
      <c r="O114" s="72"/>
      <c r="P114" s="72"/>
      <c r="Q114" s="72"/>
      <c r="R114" s="72"/>
      <c r="S114" s="72"/>
      <c r="T114" s="72"/>
      <c r="U114" s="72"/>
      <c r="V114" s="72"/>
      <c r="W114" s="72">
        <f t="shared" si="12"/>
        <v>15200000</v>
      </c>
    </row>
    <row r="115" spans="1:23" s="10" customFormat="1" ht="21.6" customHeight="1" x14ac:dyDescent="0.3">
      <c r="A115" s="30"/>
      <c r="B115" s="23" t="s">
        <v>374</v>
      </c>
      <c r="C115" s="195"/>
      <c r="D115" s="195"/>
      <c r="E115" s="195" t="s">
        <v>196</v>
      </c>
      <c r="F115" s="195">
        <v>15200000</v>
      </c>
      <c r="G115" s="195" t="s">
        <v>34</v>
      </c>
      <c r="H115" s="195">
        <v>15200000</v>
      </c>
      <c r="I115" s="195" t="s">
        <v>140</v>
      </c>
      <c r="J115" s="237"/>
      <c r="K115" s="564"/>
      <c r="L115" s="72"/>
      <c r="M115" s="580"/>
      <c r="N115" s="72"/>
      <c r="O115" s="72"/>
      <c r="P115" s="72"/>
      <c r="Q115" s="72"/>
      <c r="R115" s="72"/>
      <c r="S115" s="72"/>
      <c r="T115" s="72"/>
      <c r="U115" s="72"/>
      <c r="V115" s="72"/>
      <c r="W115" s="72">
        <f t="shared" si="12"/>
        <v>15200000</v>
      </c>
    </row>
    <row r="116" spans="1:23" s="10" customFormat="1" ht="21.6" customHeight="1" x14ac:dyDescent="0.3">
      <c r="A116" s="30"/>
      <c r="B116" s="249"/>
      <c r="C116" s="250"/>
      <c r="D116" s="251"/>
      <c r="E116" s="15" t="s">
        <v>375</v>
      </c>
      <c r="F116" s="253">
        <f>SUM(F103:F115)</f>
        <v>349600000</v>
      </c>
      <c r="G116" s="254"/>
      <c r="H116" s="253"/>
      <c r="I116" s="255"/>
      <c r="J116" s="237"/>
      <c r="K116" s="564"/>
      <c r="L116" s="72"/>
      <c r="M116" s="580"/>
      <c r="N116" s="72"/>
      <c r="O116" s="72"/>
      <c r="P116" s="72"/>
      <c r="Q116" s="72"/>
      <c r="R116" s="72"/>
      <c r="S116" s="72"/>
      <c r="T116" s="72"/>
      <c r="U116" s="72"/>
      <c r="V116" s="72"/>
      <c r="W116" s="72"/>
    </row>
    <row r="117" spans="1:23" s="10" customFormat="1" ht="31.2" x14ac:dyDescent="0.3">
      <c r="A117" s="30">
        <v>16</v>
      </c>
      <c r="B117" s="27" t="s">
        <v>292</v>
      </c>
      <c r="C117" s="195">
        <v>878</v>
      </c>
      <c r="D117" s="421" t="s">
        <v>198</v>
      </c>
      <c r="E117" s="196" t="s">
        <v>199</v>
      </c>
      <c r="F117" s="314">
        <v>3562329</v>
      </c>
      <c r="G117" s="198"/>
      <c r="H117" s="197"/>
      <c r="I117" s="198"/>
      <c r="J117" s="202" t="s">
        <v>200</v>
      </c>
      <c r="K117" s="564"/>
      <c r="L117" s="72"/>
      <c r="M117" s="580"/>
      <c r="N117" s="72"/>
      <c r="O117" s="72"/>
      <c r="P117" s="72"/>
      <c r="Q117" s="72">
        <f>F117</f>
        <v>3562329</v>
      </c>
      <c r="R117" s="72"/>
      <c r="S117" s="72"/>
      <c r="T117" s="72"/>
      <c r="U117" s="72"/>
      <c r="V117" s="72"/>
      <c r="W117" s="72"/>
    </row>
    <row r="118" spans="1:23" s="10" customFormat="1" ht="24.9" customHeight="1" x14ac:dyDescent="0.3">
      <c r="A118" s="30"/>
      <c r="B118" s="27"/>
      <c r="C118" s="195" t="s">
        <v>201</v>
      </c>
      <c r="D118" s="421" t="s">
        <v>198</v>
      </c>
      <c r="E118" s="195"/>
      <c r="F118" s="468">
        <v>15000</v>
      </c>
      <c r="G118" s="195"/>
      <c r="H118" s="195"/>
      <c r="I118" s="195"/>
      <c r="J118" s="21"/>
      <c r="K118" s="564"/>
      <c r="L118" s="72"/>
      <c r="M118" s="580"/>
      <c r="N118" s="72"/>
      <c r="O118" s="72"/>
      <c r="P118" s="72"/>
      <c r="Q118" s="72">
        <f>F118</f>
        <v>15000</v>
      </c>
      <c r="R118" s="72"/>
      <c r="S118" s="72"/>
      <c r="T118" s="72"/>
      <c r="U118" s="72"/>
      <c r="V118" s="72"/>
      <c r="W118" s="72"/>
    </row>
    <row r="119" spans="1:23" s="10" customFormat="1" ht="15.6" x14ac:dyDescent="0.3">
      <c r="A119" s="30"/>
      <c r="B119" s="27"/>
      <c r="C119" s="195"/>
      <c r="D119" s="195"/>
      <c r="E119" s="195"/>
      <c r="F119" s="468"/>
      <c r="G119" s="198"/>
      <c r="H119" s="195"/>
      <c r="I119" s="195"/>
      <c r="J119" s="21"/>
      <c r="K119" s="564"/>
      <c r="L119" s="72"/>
      <c r="M119" s="580"/>
      <c r="N119" s="72"/>
      <c r="O119" s="72"/>
      <c r="P119" s="72"/>
      <c r="Q119" s="72"/>
      <c r="R119" s="72"/>
      <c r="S119" s="72"/>
      <c r="T119" s="72"/>
      <c r="U119" s="72"/>
      <c r="V119" s="72"/>
      <c r="W119" s="72"/>
    </row>
    <row r="120" spans="1:23" ht="15.6" x14ac:dyDescent="0.3">
      <c r="A120" s="85">
        <v>17</v>
      </c>
      <c r="B120" s="348" t="s">
        <v>366</v>
      </c>
      <c r="C120" s="198" t="s">
        <v>203</v>
      </c>
      <c r="D120" s="198" t="s">
        <v>204</v>
      </c>
      <c r="E120" s="198"/>
      <c r="F120" s="469">
        <f>955800+955800+955800+955800+955800</f>
        <v>4779000</v>
      </c>
      <c r="G120" s="198"/>
      <c r="H120" s="198"/>
      <c r="I120" s="198"/>
      <c r="J120" s="84"/>
      <c r="K120" s="160"/>
      <c r="L120" s="72"/>
      <c r="M120" s="580"/>
      <c r="N120" s="72"/>
      <c r="O120" s="72"/>
      <c r="P120" s="72"/>
      <c r="Q120" s="72"/>
      <c r="R120" s="72">
        <f>F120</f>
        <v>4779000</v>
      </c>
      <c r="S120" s="72"/>
      <c r="T120" s="72"/>
      <c r="U120" s="72"/>
      <c r="V120" s="72"/>
      <c r="W120" s="72"/>
    </row>
    <row r="121" spans="1:23" ht="30" x14ac:dyDescent="0.3">
      <c r="A121" s="85">
        <v>18</v>
      </c>
      <c r="B121" s="348" t="s">
        <v>367</v>
      </c>
      <c r="C121" s="198" t="s">
        <v>206</v>
      </c>
      <c r="D121" s="198" t="s">
        <v>207</v>
      </c>
      <c r="E121" s="198"/>
      <c r="F121" s="469">
        <f>68833+68833+68833+68833</f>
        <v>275332</v>
      </c>
      <c r="G121" s="198"/>
      <c r="H121" s="198"/>
      <c r="I121" s="198"/>
      <c r="J121" s="84"/>
      <c r="K121" s="160"/>
      <c r="L121" s="72"/>
      <c r="M121" s="580"/>
      <c r="N121" s="72"/>
      <c r="O121" s="72"/>
      <c r="P121" s="72"/>
      <c r="Q121" s="72">
        <f>F121</f>
        <v>275332</v>
      </c>
      <c r="R121" s="72"/>
      <c r="S121" s="72"/>
      <c r="T121" s="72"/>
      <c r="U121" s="72"/>
      <c r="V121" s="72"/>
      <c r="W121" s="72"/>
    </row>
    <row r="122" spans="1:23" ht="15.75" customHeight="1" x14ac:dyDescent="0.3">
      <c r="A122" s="85">
        <v>19</v>
      </c>
      <c r="B122" s="420" t="s">
        <v>208</v>
      </c>
      <c r="C122" s="198"/>
      <c r="D122" s="198"/>
      <c r="E122" s="198"/>
      <c r="F122" s="470">
        <f>12580+20650+20650</f>
        <v>53880</v>
      </c>
      <c r="G122" s="198"/>
      <c r="H122" s="198"/>
      <c r="I122" s="198"/>
      <c r="J122" s="84"/>
      <c r="K122" s="160"/>
      <c r="L122" s="72"/>
      <c r="M122" s="580"/>
      <c r="N122" s="72"/>
      <c r="O122" s="72"/>
      <c r="P122" s="72"/>
      <c r="Q122" s="72">
        <f t="shared" ref="Q122:Q124" si="13">F122</f>
        <v>53880</v>
      </c>
      <c r="R122" s="72"/>
      <c r="S122" s="72"/>
      <c r="T122" s="72"/>
      <c r="U122" s="72"/>
      <c r="V122" s="72"/>
      <c r="W122" s="72"/>
    </row>
    <row r="123" spans="1:23" ht="15.6" x14ac:dyDescent="0.3">
      <c r="A123" s="85">
        <v>20</v>
      </c>
      <c r="B123" s="420" t="s">
        <v>209</v>
      </c>
      <c r="C123" s="198"/>
      <c r="D123" s="198"/>
      <c r="E123" s="198"/>
      <c r="F123" s="471">
        <f>102041</f>
        <v>102041</v>
      </c>
      <c r="G123" s="198"/>
      <c r="H123" s="198"/>
      <c r="I123" s="198"/>
      <c r="J123" s="84"/>
      <c r="K123" s="160"/>
      <c r="L123" s="72"/>
      <c r="M123" s="580"/>
      <c r="N123" s="72"/>
      <c r="O123" s="72"/>
      <c r="P123" s="72"/>
      <c r="Q123" s="72">
        <f t="shared" si="13"/>
        <v>102041</v>
      </c>
      <c r="R123" s="72"/>
      <c r="S123" s="72"/>
      <c r="T123" s="72"/>
      <c r="U123" s="72"/>
      <c r="V123" s="72"/>
      <c r="W123" s="72"/>
    </row>
    <row r="124" spans="1:23" ht="15.6" x14ac:dyDescent="0.3">
      <c r="A124" s="85">
        <v>21</v>
      </c>
      <c r="B124" s="420" t="s">
        <v>376</v>
      </c>
      <c r="C124" s="198"/>
      <c r="D124" s="198"/>
      <c r="E124" s="198"/>
      <c r="F124" s="472"/>
      <c r="G124" s="198"/>
      <c r="H124" s="198"/>
      <c r="I124" s="198"/>
      <c r="J124" s="84"/>
      <c r="K124" s="160"/>
      <c r="L124" s="72"/>
      <c r="M124" s="580"/>
      <c r="N124" s="72"/>
      <c r="O124" s="72"/>
      <c r="P124" s="72"/>
      <c r="Q124" s="72">
        <f t="shared" si="13"/>
        <v>0</v>
      </c>
      <c r="R124" s="72"/>
      <c r="S124" s="72"/>
      <c r="T124" s="72"/>
      <c r="U124" s="72"/>
      <c r="V124" s="72"/>
      <c r="W124" s="72"/>
    </row>
    <row r="125" spans="1:23" ht="15.6" x14ac:dyDescent="0.3">
      <c r="A125" s="85">
        <v>22</v>
      </c>
      <c r="B125" s="348" t="s">
        <v>210</v>
      </c>
      <c r="C125" s="198"/>
      <c r="D125" s="198"/>
      <c r="E125" s="198"/>
      <c r="F125" s="469">
        <f>25146</f>
        <v>25146</v>
      </c>
      <c r="G125" s="198"/>
      <c r="H125" s="198"/>
      <c r="I125" s="198"/>
      <c r="J125" s="84"/>
      <c r="K125" s="160"/>
      <c r="L125" s="72"/>
      <c r="M125" s="580"/>
      <c r="N125" s="72"/>
      <c r="O125" s="72"/>
      <c r="P125" s="72"/>
      <c r="Q125" s="72">
        <f>F125</f>
        <v>25146</v>
      </c>
      <c r="R125" s="72"/>
      <c r="S125" s="72"/>
      <c r="T125" s="72"/>
      <c r="U125" s="72"/>
      <c r="V125" s="72"/>
      <c r="W125" s="72"/>
    </row>
    <row r="126" spans="1:23" ht="15.6" x14ac:dyDescent="0.3">
      <c r="A126" s="85"/>
      <c r="B126" s="420"/>
      <c r="C126" s="198"/>
      <c r="D126" s="198"/>
      <c r="E126" s="198"/>
      <c r="F126" s="198"/>
      <c r="G126" s="198"/>
      <c r="H126" s="198"/>
      <c r="I126" s="198"/>
      <c r="J126" s="84"/>
      <c r="K126" s="160"/>
      <c r="L126" s="72"/>
      <c r="M126" s="580"/>
      <c r="N126" s="72"/>
      <c r="O126" s="72"/>
      <c r="P126" s="72"/>
      <c r="Q126" s="72"/>
      <c r="R126" s="72"/>
      <c r="S126" s="72"/>
      <c r="T126" s="72"/>
      <c r="U126" s="72"/>
      <c r="V126" s="72"/>
      <c r="W126" s="72"/>
    </row>
    <row r="127" spans="1:23" ht="15.6" x14ac:dyDescent="0.3">
      <c r="A127" s="85"/>
      <c r="B127" s="348"/>
      <c r="C127" s="198"/>
      <c r="D127" s="198"/>
      <c r="E127" s="198"/>
      <c r="F127" s="198"/>
      <c r="G127" s="198"/>
      <c r="H127" s="198"/>
      <c r="I127" s="198"/>
      <c r="J127" s="84"/>
      <c r="K127" s="160"/>
      <c r="L127" s="72"/>
      <c r="M127" s="580"/>
      <c r="N127" s="72"/>
      <c r="O127" s="72"/>
      <c r="P127" s="72"/>
      <c r="Q127" s="72"/>
      <c r="R127" s="72"/>
      <c r="S127" s="72"/>
      <c r="T127" s="72"/>
      <c r="U127" s="72"/>
      <c r="V127" s="72"/>
      <c r="W127" s="72"/>
    </row>
    <row r="128" spans="1:23" ht="15.6" x14ac:dyDescent="0.3">
      <c r="A128" s="85"/>
      <c r="B128" s="348"/>
      <c r="C128" s="195"/>
      <c r="D128" s="195"/>
      <c r="E128" s="195"/>
      <c r="F128" s="195"/>
      <c r="G128" s="195"/>
      <c r="H128" s="195"/>
      <c r="I128" s="195"/>
      <c r="J128" s="84"/>
      <c r="K128" s="160"/>
      <c r="L128" s="72"/>
      <c r="M128" s="580"/>
      <c r="N128" s="72"/>
      <c r="O128" s="72"/>
      <c r="P128" s="72"/>
      <c r="Q128" s="72"/>
      <c r="R128" s="72"/>
      <c r="S128" s="72"/>
      <c r="T128" s="72"/>
      <c r="U128" s="72"/>
      <c r="V128" s="72"/>
      <c r="W128" s="72"/>
    </row>
    <row r="129" spans="1:23" s="10" customFormat="1" ht="37.5" customHeight="1" x14ac:dyDescent="0.3">
      <c r="A129" s="32">
        <v>23</v>
      </c>
      <c r="B129" s="23" t="s">
        <v>298</v>
      </c>
      <c r="C129" s="34"/>
      <c r="D129" s="34"/>
      <c r="E129" s="32"/>
      <c r="F129" s="76"/>
      <c r="G129" s="33"/>
      <c r="H129" s="76"/>
      <c r="I129" s="33"/>
      <c r="J129" s="34"/>
      <c r="K129" s="564"/>
      <c r="L129" s="72"/>
      <c r="M129" s="580"/>
      <c r="N129" s="72"/>
      <c r="O129" s="72"/>
      <c r="P129" s="72"/>
      <c r="Q129" s="72"/>
      <c r="R129" s="72"/>
      <c r="S129" s="72"/>
      <c r="T129" s="72"/>
      <c r="U129" s="72"/>
      <c r="V129" s="72"/>
      <c r="W129" s="72"/>
    </row>
    <row r="130" spans="1:23" s="10" customFormat="1" ht="24.9" customHeight="1" x14ac:dyDescent="0.3">
      <c r="A130" s="30"/>
      <c r="B130" s="21" t="s">
        <v>211</v>
      </c>
      <c r="C130" s="195"/>
      <c r="D130" s="202"/>
      <c r="E130" s="195"/>
      <c r="F130" s="473">
        <f>1956000+1956000+1956000</f>
        <v>5868000</v>
      </c>
      <c r="G130" s="198"/>
      <c r="H130" s="197"/>
      <c r="I130" s="198"/>
      <c r="J130" s="202"/>
      <c r="K130" s="564"/>
      <c r="L130" s="72"/>
      <c r="M130" s="580"/>
      <c r="N130" s="72"/>
      <c r="O130" s="72"/>
      <c r="P130" s="72">
        <f>F130</f>
        <v>5868000</v>
      </c>
      <c r="Q130" s="72"/>
      <c r="R130" s="72"/>
      <c r="S130" s="72"/>
      <c r="T130" s="72"/>
      <c r="U130" s="72"/>
      <c r="V130" s="72"/>
      <c r="W130" s="72"/>
    </row>
    <row r="131" spans="1:23" ht="15.6" thickBot="1" x14ac:dyDescent="0.35">
      <c r="K131" s="573"/>
      <c r="L131" s="72"/>
      <c r="M131" s="580"/>
      <c r="N131" s="72"/>
      <c r="O131" s="72"/>
      <c r="P131" s="72"/>
      <c r="Q131" s="72"/>
      <c r="R131" s="72"/>
      <c r="S131" s="72"/>
      <c r="T131" s="72"/>
      <c r="U131" s="72"/>
      <c r="V131" s="72"/>
      <c r="W131" s="72"/>
    </row>
    <row r="132" spans="1:23" s="266" customFormat="1" ht="26.1" customHeight="1" thickBot="1" x14ac:dyDescent="0.35">
      <c r="A132" s="267"/>
      <c r="B132" s="268"/>
      <c r="C132" s="268"/>
      <c r="D132" s="268"/>
      <c r="E132" s="269"/>
      <c r="F132" s="389">
        <f>F94+F98+F117+F120+F121+F125+F130+F102+F116+F118+F122+F123</f>
        <v>633364700.04999995</v>
      </c>
      <c r="G132" s="269"/>
      <c r="H132" s="269"/>
      <c r="I132" s="269"/>
      <c r="J132" s="268"/>
      <c r="K132" s="574">
        <f>SUM(K3:K131)</f>
        <v>160192277.05000001</v>
      </c>
      <c r="L132" s="323">
        <f t="shared" ref="L132:W132" si="14">SUM(L3:L131)</f>
        <v>0</v>
      </c>
      <c r="M132" s="584">
        <f t="shared" si="14"/>
        <v>51054461</v>
      </c>
      <c r="N132" s="323">
        <f t="shared" si="14"/>
        <v>0</v>
      </c>
      <c r="O132" s="323">
        <f t="shared" si="14"/>
        <v>0</v>
      </c>
      <c r="P132" s="323">
        <f t="shared" si="14"/>
        <v>50543968</v>
      </c>
      <c r="Q132" s="323">
        <f t="shared" si="14"/>
        <v>21486155</v>
      </c>
      <c r="R132" s="323">
        <f t="shared" si="14"/>
        <v>4779000</v>
      </c>
      <c r="S132" s="323">
        <f t="shared" si="14"/>
        <v>4701346</v>
      </c>
      <c r="T132" s="323">
        <f t="shared" si="14"/>
        <v>500000</v>
      </c>
      <c r="U132" s="323">
        <f t="shared" si="14"/>
        <v>0</v>
      </c>
      <c r="V132" s="323">
        <f t="shared" si="14"/>
        <v>0</v>
      </c>
      <c r="W132" s="323">
        <f t="shared" si="14"/>
        <v>349600000</v>
      </c>
    </row>
    <row r="134" spans="1:23" ht="21" x14ac:dyDescent="0.3">
      <c r="A134" s="342"/>
      <c r="B134" s="595" t="s">
        <v>212</v>
      </c>
      <c r="C134" s="595"/>
      <c r="D134" s="595"/>
      <c r="E134" s="595"/>
      <c r="F134" s="595"/>
      <c r="G134" s="595"/>
      <c r="H134" s="595"/>
      <c r="I134" s="363"/>
      <c r="J134" s="364"/>
      <c r="K134" s="575"/>
      <c r="L134" s="364"/>
      <c r="M134" s="585"/>
    </row>
    <row r="135" spans="1:23" ht="42" x14ac:dyDescent="0.3">
      <c r="A135" s="342" t="s">
        <v>213</v>
      </c>
      <c r="B135" s="343" t="s">
        <v>214</v>
      </c>
      <c r="C135" s="343" t="s">
        <v>215</v>
      </c>
      <c r="D135" s="343" t="s">
        <v>216</v>
      </c>
      <c r="E135" s="343" t="s">
        <v>217</v>
      </c>
      <c r="F135" s="343" t="s">
        <v>218</v>
      </c>
      <c r="G135" s="343" t="s">
        <v>219</v>
      </c>
      <c r="H135" s="343" t="s">
        <v>220</v>
      </c>
      <c r="I135" s="596" t="s">
        <v>221</v>
      </c>
      <c r="J135" s="597"/>
      <c r="K135" s="597"/>
      <c r="L135" s="597"/>
      <c r="M135" s="585"/>
    </row>
    <row r="136" spans="1:23" ht="21" x14ac:dyDescent="0.3">
      <c r="A136" s="344">
        <v>1</v>
      </c>
      <c r="B136" s="344">
        <v>2</v>
      </c>
      <c r="C136" s="344">
        <v>3</v>
      </c>
      <c r="D136" s="344">
        <v>4</v>
      </c>
      <c r="E136" s="370">
        <v>5</v>
      </c>
      <c r="F136" s="370">
        <v>6</v>
      </c>
      <c r="G136" s="370">
        <v>7</v>
      </c>
      <c r="H136" s="359">
        <v>8</v>
      </c>
      <c r="I136" s="439" t="s">
        <v>222</v>
      </c>
      <c r="J136" s="440"/>
      <c r="K136" s="576" t="s">
        <v>223</v>
      </c>
      <c r="L136" s="586" t="s">
        <v>224</v>
      </c>
      <c r="M136" s="585"/>
    </row>
    <row r="137" spans="1:23" ht="21" x14ac:dyDescent="0.3">
      <c r="A137" s="343">
        <v>1</v>
      </c>
      <c r="B137" s="595" t="s">
        <v>225</v>
      </c>
      <c r="C137" s="593" t="s">
        <v>226</v>
      </c>
      <c r="D137" s="593"/>
      <c r="E137" s="371"/>
      <c r="F137" s="371"/>
      <c r="G137" s="371"/>
      <c r="H137" s="360">
        <f t="shared" ref="H137:H150" si="15">SUM(E137:G137)</f>
        <v>0</v>
      </c>
      <c r="I137" s="379"/>
      <c r="J137" s="380"/>
      <c r="K137" s="155"/>
      <c r="L137" s="587"/>
      <c r="M137" s="585"/>
    </row>
    <row r="138" spans="1:23" ht="21" x14ac:dyDescent="0.3">
      <c r="A138" s="343">
        <v>2</v>
      </c>
      <c r="B138" s="595"/>
      <c r="C138" s="593" t="s">
        <v>227</v>
      </c>
      <c r="D138" s="593"/>
      <c r="E138" s="371"/>
      <c r="F138" s="371"/>
      <c r="G138" s="372">
        <f>O132</f>
        <v>0</v>
      </c>
      <c r="H138" s="360">
        <f t="shared" si="15"/>
        <v>0</v>
      </c>
      <c r="I138" s="379"/>
      <c r="J138" s="380"/>
      <c r="K138" s="155"/>
      <c r="L138" s="587"/>
      <c r="M138" s="585" t="s">
        <v>228</v>
      </c>
    </row>
    <row r="139" spans="1:23" ht="21" x14ac:dyDescent="0.3">
      <c r="A139" s="343">
        <v>3</v>
      </c>
      <c r="B139" s="595"/>
      <c r="C139" s="593" t="s">
        <v>229</v>
      </c>
      <c r="D139" s="593"/>
      <c r="E139" s="372">
        <f>K132</f>
        <v>160192277.05000001</v>
      </c>
      <c r="F139" s="372">
        <f>M132</f>
        <v>51054461</v>
      </c>
      <c r="G139" s="372">
        <f>P132</f>
        <v>50543968</v>
      </c>
      <c r="H139" s="361">
        <f>SUM(E139:G139)</f>
        <v>261790706.05000001</v>
      </c>
      <c r="I139" s="381">
        <f>(' DEMAND'!D7*1000)-'BILLS 27 For Pay'!E139</f>
        <v>-10192277.050000012</v>
      </c>
      <c r="J139" s="381"/>
      <c r="K139" s="577">
        <f>(' DEMAND'!F7*1000)-'BILLS 27 For Pay'!F139</f>
        <v>-1054461</v>
      </c>
      <c r="L139" s="588">
        <f>(' DEMAND'!H7*1000)-'BILLS 27 For Pay'!G139</f>
        <v>-543968</v>
      </c>
      <c r="M139" s="585">
        <v>3425688</v>
      </c>
    </row>
    <row r="140" spans="1:23" ht="21" x14ac:dyDescent="0.3">
      <c r="A140" s="343">
        <v>4</v>
      </c>
      <c r="B140" s="595"/>
      <c r="C140" s="593" t="s">
        <v>230</v>
      </c>
      <c r="D140" s="593"/>
      <c r="E140" s="373"/>
      <c r="F140" s="371"/>
      <c r="G140" s="371"/>
      <c r="H140" s="360">
        <f t="shared" si="15"/>
        <v>0</v>
      </c>
      <c r="I140" s="381"/>
      <c r="J140" s="381"/>
      <c r="K140" s="577"/>
      <c r="L140" s="588"/>
      <c r="M140" s="589">
        <f>H99</f>
        <v>39618000</v>
      </c>
    </row>
    <row r="141" spans="1:23" ht="21" x14ac:dyDescent="0.3">
      <c r="A141" s="343">
        <v>5</v>
      </c>
      <c r="B141" s="595"/>
      <c r="C141" s="593" t="s">
        <v>231</v>
      </c>
      <c r="D141" s="593"/>
      <c r="E141" s="371"/>
      <c r="F141" s="371"/>
      <c r="G141" s="372">
        <f>Q132</f>
        <v>21486155</v>
      </c>
      <c r="H141" s="360">
        <f t="shared" si="15"/>
        <v>21486155</v>
      </c>
      <c r="I141" s="381"/>
      <c r="J141" s="381"/>
      <c r="K141" s="577"/>
      <c r="L141" s="588">
        <f>(' DEMAND'!H9*1000)-'BILLS 27 For Pay'!G141</f>
        <v>53513845</v>
      </c>
      <c r="M141" s="589">
        <f>50000000-M139-M140</f>
        <v>6956312</v>
      </c>
    </row>
    <row r="142" spans="1:23" ht="21" x14ac:dyDescent="0.3">
      <c r="A142" s="343">
        <v>6</v>
      </c>
      <c r="B142" s="595"/>
      <c r="C142" s="593" t="s">
        <v>232</v>
      </c>
      <c r="D142" s="593"/>
      <c r="E142" s="371"/>
      <c r="F142" s="371"/>
      <c r="G142" s="372">
        <f>R132</f>
        <v>4779000</v>
      </c>
      <c r="H142" s="360">
        <f t="shared" si="15"/>
        <v>4779000</v>
      </c>
      <c r="I142" s="381"/>
      <c r="J142" s="381"/>
      <c r="K142" s="577"/>
      <c r="L142" s="588">
        <f>(' DEMAND'!H10*1000)-'BILLS 27 For Pay'!G142</f>
        <v>221000</v>
      </c>
      <c r="M142" s="585"/>
    </row>
    <row r="143" spans="1:23" ht="21" x14ac:dyDescent="0.3">
      <c r="A143" s="343">
        <v>7</v>
      </c>
      <c r="B143" s="595"/>
      <c r="C143" s="593" t="s">
        <v>233</v>
      </c>
      <c r="D143" s="593"/>
      <c r="E143" s="371"/>
      <c r="F143" s="371"/>
      <c r="G143" s="371"/>
      <c r="H143" s="360">
        <f t="shared" si="15"/>
        <v>0</v>
      </c>
      <c r="I143" s="381"/>
      <c r="J143" s="381"/>
      <c r="K143" s="577"/>
      <c r="L143" s="588">
        <f>(' DEMAND'!H11*1000)-'BILLS 27 For Pay'!G143</f>
        <v>0</v>
      </c>
      <c r="M143" s="585"/>
    </row>
    <row r="144" spans="1:23" ht="21" x14ac:dyDescent="0.3">
      <c r="A144" s="343">
        <v>8</v>
      </c>
      <c r="B144" s="595"/>
      <c r="C144" s="593" t="s">
        <v>234</v>
      </c>
      <c r="D144" s="593"/>
      <c r="E144" s="371"/>
      <c r="F144" s="371"/>
      <c r="G144" s="372">
        <f>S132</f>
        <v>4701346</v>
      </c>
      <c r="H144" s="360">
        <f t="shared" si="15"/>
        <v>4701346</v>
      </c>
      <c r="I144" s="381"/>
      <c r="J144" s="381"/>
      <c r="K144" s="577"/>
      <c r="L144" s="588">
        <f>(' DEMAND'!H12*1000)-'BILLS 27 For Pay'!G144</f>
        <v>145298654</v>
      </c>
      <c r="M144" s="585"/>
    </row>
    <row r="145" spans="1:13" ht="21" x14ac:dyDescent="0.3">
      <c r="A145" s="343">
        <v>9</v>
      </c>
      <c r="B145" s="595"/>
      <c r="C145" s="593" t="s">
        <v>235</v>
      </c>
      <c r="D145" s="593"/>
      <c r="E145" s="371"/>
      <c r="F145" s="371"/>
      <c r="G145" s="371"/>
      <c r="H145" s="360">
        <f t="shared" si="15"/>
        <v>0</v>
      </c>
      <c r="I145" s="381"/>
      <c r="J145" s="381"/>
      <c r="K145" s="577"/>
      <c r="L145" s="588"/>
      <c r="M145" s="585"/>
    </row>
    <row r="146" spans="1:13" ht="21" x14ac:dyDescent="0.3">
      <c r="A146" s="343">
        <v>10</v>
      </c>
      <c r="B146" s="595"/>
      <c r="C146" s="593" t="s">
        <v>236</v>
      </c>
      <c r="D146" s="593"/>
      <c r="E146" s="371"/>
      <c r="F146" s="371"/>
      <c r="G146" s="371"/>
      <c r="H146" s="360">
        <f t="shared" si="15"/>
        <v>0</v>
      </c>
      <c r="I146" s="381"/>
      <c r="J146" s="381"/>
      <c r="K146" s="577"/>
      <c r="L146" s="588"/>
      <c r="M146" s="585"/>
    </row>
    <row r="147" spans="1:13" ht="21" x14ac:dyDescent="0.3">
      <c r="A147" s="343">
        <v>11</v>
      </c>
      <c r="B147" s="595"/>
      <c r="C147" s="593" t="s">
        <v>237</v>
      </c>
      <c r="D147" s="593"/>
      <c r="E147" s="372">
        <f>L132</f>
        <v>0</v>
      </c>
      <c r="F147" s="372">
        <f>N132</f>
        <v>0</v>
      </c>
      <c r="G147" s="372">
        <f>T132</f>
        <v>500000</v>
      </c>
      <c r="H147" s="360">
        <f t="shared" si="15"/>
        <v>500000</v>
      </c>
      <c r="I147" s="381"/>
      <c r="J147" s="381"/>
      <c r="K147" s="577"/>
      <c r="L147" s="588">
        <f>(' DEMAND'!H15*1000)-'BILLS 27 For Pay'!G147</f>
        <v>14500000</v>
      </c>
      <c r="M147" s="585"/>
    </row>
    <row r="148" spans="1:13" ht="21" x14ac:dyDescent="0.3">
      <c r="A148" s="343"/>
      <c r="B148" s="595"/>
      <c r="C148" s="593" t="s">
        <v>238</v>
      </c>
      <c r="D148" s="593"/>
      <c r="E148" s="371"/>
      <c r="F148" s="371"/>
      <c r="G148" s="372">
        <f>U132</f>
        <v>0</v>
      </c>
      <c r="H148" s="360">
        <f t="shared" si="15"/>
        <v>0</v>
      </c>
      <c r="I148" s="381"/>
      <c r="J148" s="381"/>
      <c r="K148" s="577"/>
      <c r="L148" s="588">
        <f>(' DEMAND'!H16*1000)-'BILLS 27 For Pay'!G148</f>
        <v>20000000</v>
      </c>
      <c r="M148" s="585"/>
    </row>
    <row r="149" spans="1:13" ht="21" x14ac:dyDescent="0.3">
      <c r="A149" s="343">
        <v>12</v>
      </c>
      <c r="B149" s="595"/>
      <c r="C149" s="593" t="s">
        <v>239</v>
      </c>
      <c r="D149" s="593"/>
      <c r="E149" s="371"/>
      <c r="F149" s="371"/>
      <c r="G149" s="372">
        <f>V132</f>
        <v>0</v>
      </c>
      <c r="H149" s="360">
        <f t="shared" si="15"/>
        <v>0</v>
      </c>
      <c r="I149" s="381"/>
      <c r="J149" s="381"/>
      <c r="K149" s="577"/>
      <c r="L149" s="588">
        <f>(' DEMAND'!H17*1000)-'BILLS 27 For Pay'!G149</f>
        <v>0</v>
      </c>
      <c r="M149" s="585"/>
    </row>
    <row r="150" spans="1:13" ht="42" customHeight="1" x14ac:dyDescent="0.3">
      <c r="A150" s="343">
        <v>13</v>
      </c>
      <c r="B150" s="595"/>
      <c r="C150" s="593" t="s">
        <v>240</v>
      </c>
      <c r="D150" s="593"/>
      <c r="E150" s="374"/>
      <c r="F150" s="371"/>
      <c r="G150" s="372">
        <f>W132</f>
        <v>349600000</v>
      </c>
      <c r="H150" s="360">
        <f t="shared" si="15"/>
        <v>349600000</v>
      </c>
      <c r="I150" s="381"/>
      <c r="J150" s="381"/>
      <c r="K150" s="577"/>
      <c r="L150" s="588">
        <f>(' DEMAND'!H18*1000)-'BILLS 27 For Pay'!G150</f>
        <v>400000</v>
      </c>
      <c r="M150" s="585"/>
    </row>
    <row r="151" spans="1:13" ht="21" x14ac:dyDescent="0.3">
      <c r="A151" s="343"/>
      <c r="B151" s="343"/>
      <c r="C151" s="591" t="s">
        <v>220</v>
      </c>
      <c r="D151" s="592"/>
      <c r="E151" s="375">
        <f>SUM(E137:E150)</f>
        <v>160192277.05000001</v>
      </c>
      <c r="F151" s="375">
        <f t="shared" ref="F151:H151" si="16">SUM(F137:F150)</f>
        <v>51054461</v>
      </c>
      <c r="G151" s="376">
        <f t="shared" si="16"/>
        <v>431610469</v>
      </c>
      <c r="H151" s="362">
        <f t="shared" si="16"/>
        <v>642857207.04999995</v>
      </c>
      <c r="I151" s="379"/>
      <c r="J151" s="380"/>
      <c r="K151" s="155"/>
      <c r="L151" s="587"/>
      <c r="M151" s="585"/>
    </row>
    <row r="152" spans="1:13" x14ac:dyDescent="0.3">
      <c r="H152" s="414" t="s">
        <v>241</v>
      </c>
      <c r="I152" s="396">
        <f>L139+K139+I139</f>
        <v>-11790706.050000012</v>
      </c>
      <c r="K152" s="578" t="s">
        <v>242</v>
      </c>
      <c r="L152" s="396">
        <f>SUM(L141:L151)</f>
        <v>233933499</v>
      </c>
      <c r="M152" s="585"/>
    </row>
    <row r="154" spans="1:13" x14ac:dyDescent="0.3">
      <c r="A154" s="85"/>
      <c r="B154" s="84" t="s">
        <v>243</v>
      </c>
      <c r="C154" s="84" t="s">
        <v>244</v>
      </c>
      <c r="D154" s="84" t="s">
        <v>245</v>
      </c>
      <c r="E154" s="85" t="s">
        <v>246</v>
      </c>
      <c r="F154" s="85">
        <v>481591</v>
      </c>
      <c r="G154" s="85" t="s">
        <v>247</v>
      </c>
      <c r="H154" s="85"/>
      <c r="I154" s="85"/>
      <c r="J154" s="84"/>
      <c r="K154" s="155"/>
      <c r="L154" s="84"/>
    </row>
    <row r="155" spans="1:13" x14ac:dyDescent="0.3">
      <c r="A155" s="85"/>
      <c r="B155" s="84"/>
      <c r="C155" s="84" t="s">
        <v>244</v>
      </c>
      <c r="D155" s="84" t="s">
        <v>245</v>
      </c>
      <c r="E155" s="85" t="s">
        <v>248</v>
      </c>
      <c r="F155" s="85">
        <v>240796</v>
      </c>
      <c r="G155" s="85" t="s">
        <v>247</v>
      </c>
      <c r="H155" s="85"/>
      <c r="I155" s="85"/>
      <c r="J155" s="84"/>
      <c r="K155" s="155"/>
      <c r="L155" s="84"/>
    </row>
    <row r="156" spans="1:13" x14ac:dyDescent="0.3">
      <c r="A156" s="85"/>
      <c r="B156" s="84"/>
      <c r="C156" s="84"/>
      <c r="D156" s="84"/>
      <c r="E156" s="85"/>
      <c r="F156" s="85"/>
      <c r="G156" s="85"/>
      <c r="H156" s="85"/>
      <c r="I156" s="85"/>
      <c r="J156" s="84"/>
      <c r="K156" s="155"/>
      <c r="L156" s="84"/>
    </row>
    <row r="157" spans="1:13" x14ac:dyDescent="0.3">
      <c r="A157" s="85"/>
      <c r="B157" s="84"/>
      <c r="C157" s="84"/>
      <c r="D157" s="84"/>
      <c r="E157" s="85"/>
      <c r="F157" s="85"/>
      <c r="G157" s="85"/>
      <c r="H157" s="85"/>
      <c r="I157" s="85"/>
      <c r="J157" s="84"/>
      <c r="K157" s="155"/>
      <c r="L157" s="84"/>
    </row>
    <row r="158" spans="1:13" x14ac:dyDescent="0.3">
      <c r="A158" s="85"/>
      <c r="B158" s="84"/>
      <c r="C158" s="84"/>
      <c r="D158" s="84"/>
      <c r="E158" s="85"/>
      <c r="F158" s="85"/>
      <c r="G158" s="85"/>
      <c r="H158" s="85"/>
      <c r="I158" s="85"/>
      <c r="J158" s="84"/>
      <c r="K158" s="155"/>
      <c r="L158" s="84"/>
    </row>
    <row r="159" spans="1:13" x14ac:dyDescent="0.3">
      <c r="A159" s="85"/>
      <c r="B159" s="84"/>
      <c r="C159" s="84"/>
      <c r="D159" s="84"/>
      <c r="E159" s="85"/>
      <c r="F159" s="85"/>
      <c r="G159" s="85"/>
      <c r="H159" s="85"/>
      <c r="I159" s="85"/>
      <c r="J159" s="84"/>
      <c r="K159" s="155"/>
      <c r="L159" s="84"/>
    </row>
  </sheetData>
  <mergeCells count="27">
    <mergeCell ref="C138:D138"/>
    <mergeCell ref="A99:A100"/>
    <mergeCell ref="A79:A82"/>
    <mergeCell ref="O1:W1"/>
    <mergeCell ref="J6:J7"/>
    <mergeCell ref="A1:G1"/>
    <mergeCell ref="B3:B4"/>
    <mergeCell ref="J79:J82"/>
    <mergeCell ref="K1:L1"/>
    <mergeCell ref="M1:N1"/>
    <mergeCell ref="C137:D137"/>
    <mergeCell ref="C151:D151"/>
    <mergeCell ref="I135:L135"/>
    <mergeCell ref="B134:H134"/>
    <mergeCell ref="B137:B150"/>
    <mergeCell ref="C150:D150"/>
    <mergeCell ref="C149:D149"/>
    <mergeCell ref="C148:D148"/>
    <mergeCell ref="C147:D147"/>
    <mergeCell ref="C146:D146"/>
    <mergeCell ref="C145:D145"/>
    <mergeCell ref="C144:D144"/>
    <mergeCell ref="C143:D143"/>
    <mergeCell ref="C142:D142"/>
    <mergeCell ref="C141:D141"/>
    <mergeCell ref="C140:D140"/>
    <mergeCell ref="C139:D139"/>
  </mergeCells>
  <pageMargins left="0.23622047244094491" right="0.27559055118110237" top="0.51181102362204722" bottom="0.31496062992125984" header="0.31496062992125984" footer="0.31496062992125984"/>
  <pageSetup scale="56" fitToHeight="0" orientation="landscape" r:id="rId1"/>
  <rowBreaks count="4" manualBreakCount="4">
    <brk id="34" max="13" man="1"/>
    <brk id="68" max="13" man="1"/>
    <brk id="102" max="13" man="1"/>
    <brk id="133" max="13" man="1"/>
  </rowBreaks>
  <colBreaks count="1" manualBreakCount="1">
    <brk id="12" max="117"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CBC2-4EB6-4047-A0E3-BE2E9DD55B70}">
  <sheetPr>
    <pageSetUpPr fitToPage="1"/>
  </sheetPr>
  <dimension ref="A1:P105"/>
  <sheetViews>
    <sheetView view="pageBreakPreview" zoomScale="85" zoomScaleNormal="60" zoomScaleSheetLayoutView="85" workbookViewId="0">
      <pane ySplit="1" topLeftCell="A77" activePane="bottomLeft" state="frozen"/>
      <selection pane="bottomLeft" activeCell="G105" sqref="G105"/>
    </sheetView>
  </sheetViews>
  <sheetFormatPr defaultColWidth="8.6640625" defaultRowHeight="15" x14ac:dyDescent="0.3"/>
  <cols>
    <col min="1" max="1" width="5.5546875" style="4" customWidth="1"/>
    <col min="2" max="2" width="25.109375" style="5" customWidth="1"/>
    <col min="3" max="3" width="20.88671875" style="5" customWidth="1"/>
    <col min="4" max="4" width="14.109375" style="5" customWidth="1"/>
    <col min="5" max="5" width="19.5546875" style="4" customWidth="1"/>
    <col min="6" max="6" width="17.5546875" style="4" customWidth="1"/>
    <col min="7" max="7" width="18" style="4" customWidth="1"/>
    <col min="8" max="8" width="15.6640625" style="4" customWidth="1"/>
    <col min="9" max="9" width="14.88671875" style="4" bestFit="1" customWidth="1"/>
    <col min="10" max="10" width="19.33203125" style="5" customWidth="1"/>
    <col min="11" max="11" width="17.33203125" style="5" customWidth="1"/>
    <col min="12" max="12" width="16.6640625" style="5" bestFit="1" customWidth="1"/>
    <col min="13" max="13" width="8" style="5" bestFit="1" customWidth="1"/>
    <col min="14" max="14" width="18.33203125" style="5" customWidth="1"/>
    <col min="15" max="15" width="10.5546875" style="5" bestFit="1" customWidth="1"/>
    <col min="16" max="16" width="16.33203125" style="5" customWidth="1"/>
    <col min="17" max="16384" width="8.6640625" style="5"/>
  </cols>
  <sheetData>
    <row r="1" spans="1:15" ht="17.399999999999999" x14ac:dyDescent="0.3">
      <c r="A1" s="620" t="s">
        <v>377</v>
      </c>
      <c r="B1" s="620"/>
      <c r="C1" s="620"/>
      <c r="D1" s="620"/>
      <c r="E1" s="620"/>
      <c r="F1" s="620"/>
      <c r="G1" s="620"/>
      <c r="H1" s="620"/>
      <c r="I1" s="620"/>
      <c r="J1" s="620"/>
      <c r="K1" s="620"/>
    </row>
    <row r="2" spans="1:15" s="10" customFormat="1" ht="42.6" customHeight="1" x14ac:dyDescent="0.3">
      <c r="A2" s="18" t="s">
        <v>4</v>
      </c>
      <c r="B2" s="57" t="s">
        <v>5</v>
      </c>
      <c r="C2" s="58" t="s">
        <v>6</v>
      </c>
      <c r="D2" s="58" t="s">
        <v>7</v>
      </c>
      <c r="E2" s="58" t="s">
        <v>8</v>
      </c>
      <c r="F2" s="58" t="s">
        <v>378</v>
      </c>
      <c r="G2" s="58" t="s">
        <v>10</v>
      </c>
      <c r="H2" s="58" t="s">
        <v>254</v>
      </c>
      <c r="I2" s="58" t="s">
        <v>13</v>
      </c>
      <c r="J2" s="299" t="s">
        <v>379</v>
      </c>
      <c r="K2" s="58" t="s">
        <v>380</v>
      </c>
    </row>
    <row r="3" spans="1:15" ht="21" customHeight="1" x14ac:dyDescent="0.3">
      <c r="A3" s="614">
        <v>1</v>
      </c>
      <c r="B3" s="608" t="s">
        <v>381</v>
      </c>
      <c r="C3" s="195" t="s">
        <v>382</v>
      </c>
      <c r="D3" s="195" t="s">
        <v>383</v>
      </c>
      <c r="E3" s="196">
        <v>45717</v>
      </c>
      <c r="F3" s="197">
        <v>1877746</v>
      </c>
      <c r="G3" s="198" t="s">
        <v>384</v>
      </c>
      <c r="H3" s="197">
        <f>341386+1453760</f>
        <v>1795146</v>
      </c>
      <c r="I3" s="198" t="s">
        <v>385</v>
      </c>
      <c r="J3" s="300">
        <f>(F3/7)*3</f>
        <v>804748.28571428568</v>
      </c>
      <c r="K3" s="199">
        <v>0</v>
      </c>
      <c r="L3" s="12">
        <f>F3-H3</f>
        <v>82600</v>
      </c>
      <c r="N3" s="6">
        <f>F3/10000000</f>
        <v>0.18777460000000001</v>
      </c>
    </row>
    <row r="4" spans="1:15" s="4" customFormat="1" ht="21" customHeight="1" x14ac:dyDescent="0.3">
      <c r="A4" s="614"/>
      <c r="B4" s="609"/>
      <c r="C4" s="195" t="s">
        <v>386</v>
      </c>
      <c r="D4" s="200">
        <v>45906</v>
      </c>
      <c r="E4" s="196">
        <v>45748</v>
      </c>
      <c r="F4" s="197">
        <v>1877746</v>
      </c>
      <c r="G4" s="198" t="s">
        <v>384</v>
      </c>
      <c r="H4" s="197">
        <f>341386+1510754</f>
        <v>1852140</v>
      </c>
      <c r="I4" s="198" t="s">
        <v>385</v>
      </c>
      <c r="J4" s="300">
        <f t="shared" ref="J4:J15" si="0">(F4/7)*3</f>
        <v>804748.28571428568</v>
      </c>
      <c r="K4" s="199">
        <v>0</v>
      </c>
      <c r="L4" s="12">
        <f t="shared" ref="L4:L15" si="1">F4-H4</f>
        <v>25606</v>
      </c>
      <c r="N4" s="7">
        <f t="shared" ref="N4:N7" si="2">F4/10000000</f>
        <v>0.18777460000000001</v>
      </c>
    </row>
    <row r="5" spans="1:15" ht="21" customHeight="1" x14ac:dyDescent="0.3">
      <c r="A5" s="614"/>
      <c r="B5" s="609"/>
      <c r="C5" s="195" t="s">
        <v>387</v>
      </c>
      <c r="D5" s="196">
        <v>45778</v>
      </c>
      <c r="E5" s="196">
        <v>45778</v>
      </c>
      <c r="F5" s="197">
        <v>1621686</v>
      </c>
      <c r="G5" s="198" t="s">
        <v>384</v>
      </c>
      <c r="H5" s="197">
        <f>341386+1172920</f>
        <v>1514306</v>
      </c>
      <c r="I5" s="198" t="s">
        <v>385</v>
      </c>
      <c r="J5" s="300">
        <f t="shared" si="0"/>
        <v>695008.28571428568</v>
      </c>
      <c r="K5" s="199">
        <v>0</v>
      </c>
      <c r="L5" s="12">
        <f t="shared" si="1"/>
        <v>107380</v>
      </c>
      <c r="N5" s="6">
        <f t="shared" si="2"/>
        <v>0.1621686</v>
      </c>
    </row>
    <row r="6" spans="1:15" ht="21" customHeight="1" x14ac:dyDescent="0.3">
      <c r="A6" s="614"/>
      <c r="B6" s="609"/>
      <c r="C6" s="195" t="s">
        <v>388</v>
      </c>
      <c r="D6" s="196">
        <v>45809</v>
      </c>
      <c r="E6" s="196">
        <v>45809</v>
      </c>
      <c r="F6" s="197">
        <v>2133806</v>
      </c>
      <c r="G6" s="198" t="s">
        <v>384</v>
      </c>
      <c r="H6" s="197">
        <f>307247+1715602</f>
        <v>2022849</v>
      </c>
      <c r="I6" s="198" t="s">
        <v>385</v>
      </c>
      <c r="J6" s="300">
        <f t="shared" si="0"/>
        <v>914488.28571428568</v>
      </c>
      <c r="K6" s="199">
        <v>0</v>
      </c>
      <c r="L6" s="12">
        <f t="shared" si="1"/>
        <v>110957</v>
      </c>
      <c r="N6" s="6">
        <f t="shared" si="2"/>
        <v>0.2133806</v>
      </c>
    </row>
    <row r="7" spans="1:15" ht="21" customHeight="1" thickBot="1" x14ac:dyDescent="0.35">
      <c r="A7" s="614"/>
      <c r="B7" s="609"/>
      <c r="C7" s="195" t="s">
        <v>389</v>
      </c>
      <c r="D7" s="196">
        <v>45839</v>
      </c>
      <c r="E7" s="196">
        <v>45839</v>
      </c>
      <c r="F7" s="197">
        <v>2084246</v>
      </c>
      <c r="G7" s="198" t="s">
        <v>384</v>
      </c>
      <c r="H7" s="197">
        <f>297336+1718080</f>
        <v>2015416</v>
      </c>
      <c r="I7" s="198" t="s">
        <v>385</v>
      </c>
      <c r="J7" s="300">
        <f t="shared" si="0"/>
        <v>893248.28571428568</v>
      </c>
      <c r="K7" s="199">
        <v>0</v>
      </c>
      <c r="L7" s="12">
        <f t="shared" si="1"/>
        <v>68830</v>
      </c>
      <c r="N7" s="6">
        <f t="shared" si="2"/>
        <v>0.20842459999999999</v>
      </c>
    </row>
    <row r="8" spans="1:15" ht="21" customHeight="1" thickBot="1" x14ac:dyDescent="0.35">
      <c r="A8" s="614"/>
      <c r="B8" s="609"/>
      <c r="C8" s="195" t="s">
        <v>390</v>
      </c>
      <c r="D8" s="195" t="s">
        <v>391</v>
      </c>
      <c r="E8" s="195">
        <v>45870</v>
      </c>
      <c r="F8" s="201">
        <v>2133806</v>
      </c>
      <c r="G8" s="198" t="s">
        <v>384</v>
      </c>
      <c r="H8" s="201">
        <v>2018166</v>
      </c>
      <c r="I8" s="198" t="s">
        <v>392</v>
      </c>
      <c r="J8" s="300">
        <f t="shared" si="0"/>
        <v>914488.28571428568</v>
      </c>
      <c r="K8" s="199">
        <v>0</v>
      </c>
      <c r="L8" s="12">
        <f t="shared" si="1"/>
        <v>115640</v>
      </c>
      <c r="N8" s="136">
        <v>341386</v>
      </c>
    </row>
    <row r="9" spans="1:15" ht="21" customHeight="1" thickBot="1" x14ac:dyDescent="0.35">
      <c r="A9" s="614"/>
      <c r="B9" s="609"/>
      <c r="C9" s="195" t="s">
        <v>393</v>
      </c>
      <c r="D9" s="195" t="s">
        <v>394</v>
      </c>
      <c r="E9" s="195" t="s">
        <v>109</v>
      </c>
      <c r="F9" s="201">
        <v>2133806</v>
      </c>
      <c r="G9" s="198" t="s">
        <v>384</v>
      </c>
      <c r="H9" s="201">
        <v>2048453</v>
      </c>
      <c r="I9" s="198" t="s">
        <v>392</v>
      </c>
      <c r="J9" s="300">
        <f t="shared" si="0"/>
        <v>914488.28571428568</v>
      </c>
      <c r="K9" s="199">
        <v>0</v>
      </c>
      <c r="L9" s="12">
        <f t="shared" si="1"/>
        <v>85353</v>
      </c>
      <c r="N9" s="137">
        <v>1676780</v>
      </c>
      <c r="O9" s="138">
        <f>N8+N9</f>
        <v>2018166</v>
      </c>
    </row>
    <row r="10" spans="1:15" ht="21" customHeight="1" thickBot="1" x14ac:dyDescent="0.35">
      <c r="A10" s="614"/>
      <c r="B10" s="609"/>
      <c r="C10" s="195" t="s">
        <v>395</v>
      </c>
      <c r="D10" s="195" t="s">
        <v>396</v>
      </c>
      <c r="E10" s="195" t="s">
        <v>397</v>
      </c>
      <c r="F10" s="201">
        <v>2133807</v>
      </c>
      <c r="G10" s="198" t="s">
        <v>384</v>
      </c>
      <c r="H10" s="201">
        <v>1996141</v>
      </c>
      <c r="I10" s="198" t="s">
        <v>392</v>
      </c>
      <c r="J10" s="300">
        <f t="shared" si="0"/>
        <v>914488.71428571432</v>
      </c>
      <c r="K10" s="199">
        <v>0</v>
      </c>
      <c r="L10" s="12">
        <f t="shared" si="1"/>
        <v>137666</v>
      </c>
      <c r="N10" s="137">
        <v>341386</v>
      </c>
    </row>
    <row r="11" spans="1:15" ht="21" customHeight="1" thickBot="1" x14ac:dyDescent="0.35">
      <c r="A11" s="614"/>
      <c r="B11" s="609"/>
      <c r="C11" s="195" t="s">
        <v>398</v>
      </c>
      <c r="D11" s="195" t="s">
        <v>399</v>
      </c>
      <c r="E11" s="195" t="s">
        <v>58</v>
      </c>
      <c r="F11" s="201">
        <v>1877746</v>
      </c>
      <c r="G11" s="198" t="s">
        <v>384</v>
      </c>
      <c r="H11" s="201">
        <v>1835069</v>
      </c>
      <c r="I11" s="198" t="s">
        <v>392</v>
      </c>
      <c r="J11" s="300">
        <f t="shared" si="0"/>
        <v>804748.28571428568</v>
      </c>
      <c r="K11" s="199">
        <v>0</v>
      </c>
      <c r="L11" s="12">
        <f t="shared" si="1"/>
        <v>42677</v>
      </c>
      <c r="N11" s="137">
        <v>1707067</v>
      </c>
      <c r="O11" s="138">
        <f>N10+N11</f>
        <v>2048453</v>
      </c>
    </row>
    <row r="12" spans="1:15" ht="21" customHeight="1" thickBot="1" x14ac:dyDescent="0.35">
      <c r="A12" s="614"/>
      <c r="B12" s="609"/>
      <c r="C12" s="195" t="s">
        <v>400</v>
      </c>
      <c r="D12" s="195" t="s">
        <v>336</v>
      </c>
      <c r="E12" s="195" t="s">
        <v>60</v>
      </c>
      <c r="F12" s="201">
        <v>1877746</v>
      </c>
      <c r="G12" s="198" t="s">
        <v>384</v>
      </c>
      <c r="H12" s="201">
        <v>1701534</v>
      </c>
      <c r="I12" s="198" t="s">
        <v>392</v>
      </c>
      <c r="J12" s="300">
        <f t="shared" si="0"/>
        <v>804748.28571428568</v>
      </c>
      <c r="K12" s="199">
        <v>0</v>
      </c>
      <c r="L12" s="12">
        <f t="shared" si="1"/>
        <v>176212</v>
      </c>
      <c r="N12" s="137">
        <v>319361</v>
      </c>
    </row>
    <row r="13" spans="1:15" ht="21" customHeight="1" thickBot="1" x14ac:dyDescent="0.35">
      <c r="A13" s="614"/>
      <c r="B13" s="609"/>
      <c r="C13" s="195" t="s">
        <v>401</v>
      </c>
      <c r="D13" s="195" t="s">
        <v>402</v>
      </c>
      <c r="E13" s="195" t="s">
        <v>114</v>
      </c>
      <c r="F13" s="201">
        <v>1877746</v>
      </c>
      <c r="G13" s="198" t="s">
        <v>384</v>
      </c>
      <c r="H13" s="201">
        <v>1770368</v>
      </c>
      <c r="I13" s="198" t="s">
        <v>392</v>
      </c>
      <c r="J13" s="300">
        <f t="shared" si="0"/>
        <v>804748.28571428568</v>
      </c>
      <c r="K13" s="199">
        <v>0</v>
      </c>
      <c r="L13" s="12">
        <f t="shared" si="1"/>
        <v>107378</v>
      </c>
      <c r="N13" s="137">
        <v>1676780</v>
      </c>
      <c r="O13" s="138">
        <f>N12+N13</f>
        <v>1996141</v>
      </c>
    </row>
    <row r="14" spans="1:15" ht="21" customHeight="1" x14ac:dyDescent="0.3">
      <c r="A14" s="614"/>
      <c r="B14" s="609"/>
      <c r="C14" s="195" t="s">
        <v>403</v>
      </c>
      <c r="D14" s="195" t="s">
        <v>404</v>
      </c>
      <c r="E14" s="195" t="s">
        <v>117</v>
      </c>
      <c r="F14" s="201">
        <v>1877746</v>
      </c>
      <c r="G14" s="198" t="s">
        <v>384</v>
      </c>
      <c r="H14" s="201">
        <v>1777152</v>
      </c>
      <c r="I14" s="198" t="s">
        <v>392</v>
      </c>
      <c r="J14" s="300">
        <f t="shared" si="0"/>
        <v>804748.28571428568</v>
      </c>
      <c r="K14" s="199">
        <v>0</v>
      </c>
      <c r="L14" s="12">
        <f t="shared" si="1"/>
        <v>100594</v>
      </c>
      <c r="N14" s="6"/>
      <c r="O14" s="5">
        <f>SUM(O8:O13)</f>
        <v>6062760</v>
      </c>
    </row>
    <row r="15" spans="1:15" ht="21" customHeight="1" x14ac:dyDescent="0.3">
      <c r="A15" s="614"/>
      <c r="B15" s="610"/>
      <c r="C15" s="195" t="s">
        <v>405</v>
      </c>
      <c r="D15" s="195" t="s">
        <v>406</v>
      </c>
      <c r="E15" s="203" t="s">
        <v>407</v>
      </c>
      <c r="F15" s="197">
        <v>3657952</v>
      </c>
      <c r="G15" s="198" t="s">
        <v>384</v>
      </c>
      <c r="H15" s="197">
        <v>3657952</v>
      </c>
      <c r="I15" s="198" t="s">
        <v>385</v>
      </c>
      <c r="J15" s="442">
        <f t="shared" si="0"/>
        <v>1567693.7142857143</v>
      </c>
      <c r="K15" s="199">
        <v>0</v>
      </c>
      <c r="L15" s="12">
        <f t="shared" si="1"/>
        <v>0</v>
      </c>
      <c r="M15" s="8">
        <f>L15/10000000</f>
        <v>0</v>
      </c>
      <c r="N15" s="6" t="e">
        <f>#REF!/10000000</f>
        <v>#REF!</v>
      </c>
    </row>
    <row r="16" spans="1:15" s="10" customFormat="1" ht="24.9" customHeight="1" x14ac:dyDescent="0.3">
      <c r="A16" s="30"/>
      <c r="B16" s="21"/>
      <c r="C16" s="63"/>
      <c r="D16" s="63"/>
      <c r="E16" s="64" t="s">
        <v>408</v>
      </c>
      <c r="F16" s="70">
        <f>SUM(F3:F15)</f>
        <v>27165585</v>
      </c>
      <c r="G16" s="65"/>
      <c r="H16" s="73">
        <f>SUM(H3:H15)</f>
        <v>26004692</v>
      </c>
      <c r="I16" s="65"/>
      <c r="J16" s="291"/>
      <c r="K16" s="80">
        <f>SUM(K3:K15)</f>
        <v>0</v>
      </c>
      <c r="L16" s="12">
        <f>F16-H16</f>
        <v>1160893</v>
      </c>
      <c r="M16" s="11"/>
    </row>
    <row r="17" spans="1:16" s="10" customFormat="1" ht="31.5" customHeight="1" x14ac:dyDescent="0.3">
      <c r="A17" s="32">
        <v>2</v>
      </c>
      <c r="B17" s="23" t="s">
        <v>409</v>
      </c>
      <c r="C17" s="23" t="s">
        <v>363</v>
      </c>
      <c r="D17" s="23"/>
      <c r="E17" s="32"/>
      <c r="F17" s="71"/>
      <c r="G17" s="33"/>
      <c r="H17" s="76"/>
      <c r="I17" s="33"/>
      <c r="J17" s="292"/>
      <c r="K17" s="79"/>
      <c r="M17" s="11"/>
    </row>
    <row r="18" spans="1:16" ht="24.9" customHeight="1" x14ac:dyDescent="0.3">
      <c r="A18" s="614"/>
      <c r="B18" s="615" t="s">
        <v>410</v>
      </c>
      <c r="C18" s="195" t="s">
        <v>308</v>
      </c>
      <c r="D18" s="195" t="s">
        <v>391</v>
      </c>
      <c r="E18" s="196" t="s">
        <v>411</v>
      </c>
      <c r="F18" s="197">
        <v>3924291.78</v>
      </c>
      <c r="G18" s="198" t="s">
        <v>384</v>
      </c>
      <c r="H18" s="197">
        <v>3710823</v>
      </c>
      <c r="I18" s="198" t="s">
        <v>116</v>
      </c>
      <c r="J18" s="300">
        <f t="shared" ref="J18:J22" si="3">H18/3</f>
        <v>1236941</v>
      </c>
      <c r="K18" s="199">
        <v>0</v>
      </c>
      <c r="M18" s="4"/>
      <c r="N18" s="6">
        <f>F18/10000000</f>
        <v>0.39242917799999999</v>
      </c>
    </row>
    <row r="19" spans="1:16" ht="27.6" customHeight="1" x14ac:dyDescent="0.3">
      <c r="A19" s="614"/>
      <c r="B19" s="615"/>
      <c r="C19" s="195" t="s">
        <v>412</v>
      </c>
      <c r="D19" s="195" t="s">
        <v>413</v>
      </c>
      <c r="E19" s="196" t="s">
        <v>109</v>
      </c>
      <c r="F19" s="197">
        <v>3823238</v>
      </c>
      <c r="G19" s="198" t="s">
        <v>384</v>
      </c>
      <c r="H19" s="197">
        <v>3823238</v>
      </c>
      <c r="I19" s="198" t="s">
        <v>116</v>
      </c>
      <c r="J19" s="300">
        <f t="shared" si="3"/>
        <v>1274412.6666666667</v>
      </c>
      <c r="K19" s="199">
        <v>0</v>
      </c>
      <c r="L19" s="3">
        <f>SUM(F18:F19)</f>
        <v>7747529.7799999993</v>
      </c>
      <c r="M19" s="7">
        <f>L19/10000000</f>
        <v>0.77475297799999998</v>
      </c>
      <c r="N19" s="6">
        <f>F19/10000000</f>
        <v>0.38232379999999999</v>
      </c>
    </row>
    <row r="20" spans="1:16" ht="21" customHeight="1" x14ac:dyDescent="0.3">
      <c r="A20" s="30"/>
      <c r="B20" s="173" t="s">
        <v>223</v>
      </c>
      <c r="C20" s="178" t="s">
        <v>414</v>
      </c>
      <c r="D20" s="178" t="s">
        <v>415</v>
      </c>
      <c r="E20" s="179" t="s">
        <v>55</v>
      </c>
      <c r="F20" s="180">
        <v>4005406</v>
      </c>
      <c r="G20" s="181" t="s">
        <v>384</v>
      </c>
      <c r="H20" s="182">
        <v>4005406</v>
      </c>
      <c r="I20" s="181" t="s">
        <v>416</v>
      </c>
      <c r="J20" s="300">
        <f t="shared" si="3"/>
        <v>1335135.3333333333</v>
      </c>
      <c r="K20" s="154">
        <v>0</v>
      </c>
      <c r="L20" s="3"/>
      <c r="M20" s="7"/>
      <c r="N20" s="6"/>
    </row>
    <row r="21" spans="1:16" ht="21" customHeight="1" x14ac:dyDescent="0.3">
      <c r="A21" s="30"/>
      <c r="B21" s="173" t="s">
        <v>223</v>
      </c>
      <c r="C21" s="178" t="s">
        <v>417</v>
      </c>
      <c r="D21" s="178" t="s">
        <v>415</v>
      </c>
      <c r="E21" s="179" t="s">
        <v>58</v>
      </c>
      <c r="F21" s="180">
        <v>4246022</v>
      </c>
      <c r="G21" s="181" t="s">
        <v>384</v>
      </c>
      <c r="H21" s="182">
        <v>4246022</v>
      </c>
      <c r="I21" s="181" t="s">
        <v>416</v>
      </c>
      <c r="J21" s="300">
        <f t="shared" si="3"/>
        <v>1415340.6666666667</v>
      </c>
      <c r="K21" s="154">
        <v>0</v>
      </c>
      <c r="L21" s="3"/>
      <c r="M21" s="7"/>
      <c r="N21" s="6"/>
    </row>
    <row r="22" spans="1:16" ht="21" customHeight="1" x14ac:dyDescent="0.3">
      <c r="A22" s="30"/>
      <c r="B22" s="173" t="s">
        <v>223</v>
      </c>
      <c r="C22" s="178" t="s">
        <v>418</v>
      </c>
      <c r="D22" s="178" t="s">
        <v>419</v>
      </c>
      <c r="E22" s="179" t="s">
        <v>60</v>
      </c>
      <c r="F22" s="180">
        <v>4527189</v>
      </c>
      <c r="G22" s="181" t="s">
        <v>384</v>
      </c>
      <c r="H22" s="182">
        <v>4527189</v>
      </c>
      <c r="I22" s="181" t="s">
        <v>416</v>
      </c>
      <c r="J22" s="300">
        <f t="shared" si="3"/>
        <v>1509063</v>
      </c>
      <c r="K22" s="154">
        <v>0</v>
      </c>
      <c r="L22" s="3"/>
      <c r="M22" s="7"/>
      <c r="N22" s="6"/>
    </row>
    <row r="23" spans="1:16" s="10" customFormat="1" ht="24.9" customHeight="1" x14ac:dyDescent="0.3">
      <c r="A23" s="30"/>
      <c r="B23" s="21"/>
      <c r="C23" s="66"/>
      <c r="D23" s="66"/>
      <c r="E23" s="64" t="s">
        <v>420</v>
      </c>
      <c r="F23" s="73">
        <f>SUM(F18:F22)</f>
        <v>20526146.780000001</v>
      </c>
      <c r="G23" s="65"/>
      <c r="H23" s="73">
        <f>SUM(H18:H22)</f>
        <v>20312678</v>
      </c>
      <c r="I23" s="65"/>
      <c r="J23" s="291"/>
      <c r="K23" s="80">
        <f>SUM(K20:K22)</f>
        <v>0</v>
      </c>
      <c r="L23" s="12">
        <f>F23-H23</f>
        <v>213468.78000000119</v>
      </c>
      <c r="M23" s="11"/>
    </row>
    <row r="24" spans="1:16" s="10" customFormat="1" ht="30.6" customHeight="1" x14ac:dyDescent="0.45">
      <c r="A24" s="614">
        <v>3</v>
      </c>
      <c r="B24" s="615" t="s">
        <v>421</v>
      </c>
      <c r="C24" s="203" t="s">
        <v>422</v>
      </c>
      <c r="D24" s="195" t="s">
        <v>423</v>
      </c>
      <c r="E24" s="196">
        <v>45833</v>
      </c>
      <c r="F24" s="197">
        <v>385250</v>
      </c>
      <c r="G24" s="198" t="s">
        <v>384</v>
      </c>
      <c r="H24" s="197">
        <v>385250</v>
      </c>
      <c r="I24" s="198" t="s">
        <v>416</v>
      </c>
      <c r="J24" s="300">
        <f t="shared" ref="J24:J27" si="4">H24/3</f>
        <v>128416.66666666667</v>
      </c>
      <c r="K24" s="197"/>
      <c r="M24" s="11"/>
      <c r="N24" s="12">
        <f>F24/10000000</f>
        <v>3.8524999999999997E-2</v>
      </c>
      <c r="P24" s="172">
        <v>358285</v>
      </c>
    </row>
    <row r="25" spans="1:16" s="10" customFormat="1" ht="30.6" customHeight="1" x14ac:dyDescent="0.3">
      <c r="A25" s="614"/>
      <c r="B25" s="615"/>
      <c r="C25" s="203" t="s">
        <v>424</v>
      </c>
      <c r="D25" s="200">
        <v>45877</v>
      </c>
      <c r="E25" s="196">
        <v>45863</v>
      </c>
      <c r="F25" s="197">
        <v>1382176</v>
      </c>
      <c r="G25" s="198" t="s">
        <v>384</v>
      </c>
      <c r="H25" s="197">
        <v>1382176</v>
      </c>
      <c r="I25" s="198" t="s">
        <v>416</v>
      </c>
      <c r="J25" s="300">
        <f t="shared" si="4"/>
        <v>460725.33333333331</v>
      </c>
      <c r="K25" s="197"/>
      <c r="M25" s="11"/>
      <c r="N25" s="12">
        <f t="shared" ref="N25:N27" si="5">F25/10000000</f>
        <v>0.1382176</v>
      </c>
      <c r="P25" s="10">
        <f>P24*0.25</f>
        <v>89571.25</v>
      </c>
    </row>
    <row r="26" spans="1:16" s="10" customFormat="1" ht="30.6" customHeight="1" x14ac:dyDescent="0.3">
      <c r="A26" s="614"/>
      <c r="B26" s="615"/>
      <c r="C26" s="203" t="s">
        <v>425</v>
      </c>
      <c r="D26" s="200">
        <v>45878</v>
      </c>
      <c r="E26" s="196">
        <v>45870</v>
      </c>
      <c r="F26" s="197">
        <v>2007096.77</v>
      </c>
      <c r="G26" s="198" t="s">
        <v>384</v>
      </c>
      <c r="H26" s="197">
        <v>2007096.77</v>
      </c>
      <c r="I26" s="198" t="s">
        <v>416</v>
      </c>
      <c r="J26" s="300">
        <f t="shared" si="4"/>
        <v>669032.25666666671</v>
      </c>
      <c r="K26" s="197"/>
      <c r="M26" s="11"/>
      <c r="N26" s="12">
        <f t="shared" si="5"/>
        <v>0.200709677</v>
      </c>
      <c r="P26" s="10">
        <f>P25*0.18</f>
        <v>16122.824999999999</v>
      </c>
    </row>
    <row r="27" spans="1:16" s="10" customFormat="1" ht="30.6" customHeight="1" x14ac:dyDescent="0.3">
      <c r="A27" s="614"/>
      <c r="B27" s="615"/>
      <c r="C27" s="203" t="s">
        <v>426</v>
      </c>
      <c r="D27" s="195" t="s">
        <v>427</v>
      </c>
      <c r="E27" s="196" t="s">
        <v>109</v>
      </c>
      <c r="F27" s="197">
        <v>2456750</v>
      </c>
      <c r="G27" s="198" t="s">
        <v>384</v>
      </c>
      <c r="H27" s="197">
        <v>2456750</v>
      </c>
      <c r="I27" s="198" t="s">
        <v>416</v>
      </c>
      <c r="J27" s="300">
        <f t="shared" si="4"/>
        <v>818916.66666666663</v>
      </c>
      <c r="K27" s="197"/>
      <c r="L27" s="12">
        <f>SUM(F24:F27)</f>
        <v>6231272.7699999996</v>
      </c>
      <c r="M27" s="8">
        <f>L27/10000000</f>
        <v>0.62312727699999992</v>
      </c>
      <c r="N27" s="12">
        <f t="shared" si="5"/>
        <v>0.245675</v>
      </c>
    </row>
    <row r="28" spans="1:16" ht="24.9" customHeight="1" x14ac:dyDescent="0.3">
      <c r="A28" s="64"/>
      <c r="B28" s="62"/>
      <c r="C28" s="62"/>
      <c r="D28" s="62"/>
      <c r="E28" s="64" t="s">
        <v>428</v>
      </c>
      <c r="F28" s="73">
        <f>SUM(F24:F27)</f>
        <v>6231272.7699999996</v>
      </c>
      <c r="G28" s="65"/>
      <c r="H28" s="73">
        <f>SUM(H24:H27)</f>
        <v>6231272.7699999996</v>
      </c>
      <c r="I28" s="65"/>
      <c r="J28" s="291"/>
      <c r="K28" s="81">
        <f>SUM(K24:K27)</f>
        <v>0</v>
      </c>
      <c r="M28" s="4"/>
    </row>
    <row r="29" spans="1:16" s="10" customFormat="1" ht="21.75" customHeight="1" x14ac:dyDescent="0.3">
      <c r="A29" s="614">
        <v>4</v>
      </c>
      <c r="B29" s="616" t="s">
        <v>429</v>
      </c>
      <c r="C29" s="204" t="s">
        <v>430</v>
      </c>
      <c r="D29" s="205" t="s">
        <v>423</v>
      </c>
      <c r="E29" s="206">
        <v>45833</v>
      </c>
      <c r="F29" s="197">
        <v>2795000</v>
      </c>
      <c r="G29" s="198" t="s">
        <v>384</v>
      </c>
      <c r="H29" s="207">
        <v>2787500</v>
      </c>
      <c r="I29" s="198" t="s">
        <v>416</v>
      </c>
      <c r="J29" s="300">
        <f t="shared" ref="J29:J35" si="6">H29/3</f>
        <v>929166.66666666663</v>
      </c>
      <c r="K29" s="208"/>
      <c r="M29" s="11"/>
      <c r="N29" s="12" t="e">
        <f>#REF!/10000000</f>
        <v>#REF!</v>
      </c>
    </row>
    <row r="30" spans="1:16" s="10" customFormat="1" ht="21.75" customHeight="1" x14ac:dyDescent="0.3">
      <c r="A30" s="614"/>
      <c r="B30" s="616"/>
      <c r="C30" s="204" t="s">
        <v>431</v>
      </c>
      <c r="D30" s="205">
        <v>45969</v>
      </c>
      <c r="E30" s="206">
        <v>45863</v>
      </c>
      <c r="F30" s="207">
        <v>5419597</v>
      </c>
      <c r="G30" s="198" t="s">
        <v>384</v>
      </c>
      <c r="H30" s="207">
        <v>5419597</v>
      </c>
      <c r="I30" s="198" t="s">
        <v>416</v>
      </c>
      <c r="J30" s="300">
        <f t="shared" si="6"/>
        <v>1806532.3333333333</v>
      </c>
      <c r="K30" s="208"/>
      <c r="M30" s="11"/>
    </row>
    <row r="31" spans="1:16" s="10" customFormat="1" ht="21.75" customHeight="1" x14ac:dyDescent="0.3">
      <c r="A31" s="614"/>
      <c r="B31" s="616"/>
      <c r="C31" s="204" t="s">
        <v>432</v>
      </c>
      <c r="D31" s="205" t="s">
        <v>433</v>
      </c>
      <c r="E31" s="206">
        <v>45870</v>
      </c>
      <c r="F31" s="207">
        <v>6104879</v>
      </c>
      <c r="G31" s="198" t="s">
        <v>384</v>
      </c>
      <c r="H31" s="207">
        <v>6104879</v>
      </c>
      <c r="I31" s="198" t="s">
        <v>416</v>
      </c>
      <c r="J31" s="300">
        <f t="shared" si="6"/>
        <v>2034959.6666666667</v>
      </c>
      <c r="K31" s="208"/>
      <c r="M31" s="11"/>
    </row>
    <row r="32" spans="1:16" s="10" customFormat="1" ht="21.75" customHeight="1" x14ac:dyDescent="0.3">
      <c r="A32" s="614"/>
      <c r="B32" s="616"/>
      <c r="C32" s="204" t="s">
        <v>434</v>
      </c>
      <c r="D32" s="204" t="s">
        <v>435</v>
      </c>
      <c r="E32" s="196" t="s">
        <v>109</v>
      </c>
      <c r="F32" s="197">
        <v>6540000</v>
      </c>
      <c r="G32" s="198" t="s">
        <v>384</v>
      </c>
      <c r="H32" s="207">
        <v>6540000</v>
      </c>
      <c r="I32" s="198" t="s">
        <v>416</v>
      </c>
      <c r="J32" s="300">
        <f t="shared" si="6"/>
        <v>2180000</v>
      </c>
      <c r="K32" s="208"/>
      <c r="M32" s="11"/>
    </row>
    <row r="33" spans="1:14" s="10" customFormat="1" ht="21.75" customHeight="1" x14ac:dyDescent="0.3">
      <c r="A33" s="614"/>
      <c r="B33" s="616"/>
      <c r="C33" s="204" t="s">
        <v>436</v>
      </c>
      <c r="D33" s="204" t="s">
        <v>437</v>
      </c>
      <c r="E33" s="196" t="s">
        <v>55</v>
      </c>
      <c r="F33" s="197">
        <v>6541331</v>
      </c>
      <c r="G33" s="198" t="s">
        <v>384</v>
      </c>
      <c r="H33" s="207">
        <v>6541331</v>
      </c>
      <c r="I33" s="198" t="s">
        <v>416</v>
      </c>
      <c r="J33" s="300">
        <f t="shared" si="6"/>
        <v>2180443.6666666665</v>
      </c>
      <c r="K33" s="208"/>
      <c r="M33" s="11"/>
    </row>
    <row r="34" spans="1:14" s="10" customFormat="1" ht="21.75" customHeight="1" x14ac:dyDescent="0.3">
      <c r="A34" s="614"/>
      <c r="B34" s="616"/>
      <c r="C34" s="204" t="s">
        <v>438</v>
      </c>
      <c r="D34" s="204" t="s">
        <v>439</v>
      </c>
      <c r="E34" s="196" t="s">
        <v>58</v>
      </c>
      <c r="F34" s="197">
        <v>5797501</v>
      </c>
      <c r="G34" s="198" t="s">
        <v>384</v>
      </c>
      <c r="H34" s="207">
        <v>5797501</v>
      </c>
      <c r="I34" s="198" t="s">
        <v>416</v>
      </c>
      <c r="J34" s="300">
        <f t="shared" si="6"/>
        <v>1932500.3333333333</v>
      </c>
      <c r="K34" s="208"/>
      <c r="M34" s="11"/>
    </row>
    <row r="35" spans="1:14" s="10" customFormat="1" ht="21.75" customHeight="1" x14ac:dyDescent="0.3">
      <c r="A35" s="614"/>
      <c r="B35" s="616"/>
      <c r="C35" s="204" t="s">
        <v>440</v>
      </c>
      <c r="D35" s="204" t="s">
        <v>439</v>
      </c>
      <c r="E35" s="196" t="s">
        <v>60</v>
      </c>
      <c r="F35" s="197">
        <v>5783952</v>
      </c>
      <c r="G35" s="198" t="s">
        <v>384</v>
      </c>
      <c r="H35" s="207">
        <v>5783952</v>
      </c>
      <c r="I35" s="198" t="s">
        <v>416</v>
      </c>
      <c r="J35" s="300">
        <f t="shared" si="6"/>
        <v>1927984</v>
      </c>
      <c r="K35" s="208"/>
      <c r="L35" s="12">
        <f>SUM(F29:F35)</f>
        <v>38982260</v>
      </c>
      <c r="M35" s="8">
        <f>L35/10000000</f>
        <v>3.8982260000000002</v>
      </c>
    </row>
    <row r="36" spans="1:14" ht="21.75" customHeight="1" x14ac:dyDescent="0.3">
      <c r="A36" s="64"/>
      <c r="B36" s="62"/>
      <c r="C36" s="62"/>
      <c r="D36" s="62"/>
      <c r="E36" s="64" t="s">
        <v>441</v>
      </c>
      <c r="F36" s="73">
        <f>SUM(F29:F35)</f>
        <v>38982260</v>
      </c>
      <c r="G36" s="60"/>
      <c r="H36" s="73">
        <f>SUM(H29:H35)</f>
        <v>38974760</v>
      </c>
      <c r="I36" s="60"/>
      <c r="J36" s="291"/>
      <c r="K36" s="81">
        <f>SUM(K29:K35)</f>
        <v>0</v>
      </c>
      <c r="M36" s="4"/>
    </row>
    <row r="37" spans="1:14" s="10" customFormat="1" ht="21.75" customHeight="1" x14ac:dyDescent="0.3">
      <c r="A37" s="614">
        <v>5</v>
      </c>
      <c r="B37" s="615" t="s">
        <v>442</v>
      </c>
      <c r="C37" s="151" t="s">
        <v>443</v>
      </c>
      <c r="D37" s="174">
        <v>45901</v>
      </c>
      <c r="E37" s="152">
        <v>45809</v>
      </c>
      <c r="F37" s="175">
        <v>525724</v>
      </c>
      <c r="G37" s="153" t="s">
        <v>384</v>
      </c>
      <c r="H37" s="176">
        <v>482279</v>
      </c>
      <c r="I37" s="153" t="s">
        <v>444</v>
      </c>
      <c r="J37" s="293"/>
      <c r="K37" s="176"/>
      <c r="M37" s="11"/>
      <c r="N37" s="12">
        <f>F37/10000000</f>
        <v>5.2572399999999998E-2</v>
      </c>
    </row>
    <row r="38" spans="1:14" s="10" customFormat="1" ht="21.75" customHeight="1" x14ac:dyDescent="0.3">
      <c r="A38" s="614"/>
      <c r="B38" s="615"/>
      <c r="C38" s="151" t="s">
        <v>445</v>
      </c>
      <c r="D38" s="174">
        <v>45901</v>
      </c>
      <c r="E38" s="152">
        <v>45839</v>
      </c>
      <c r="F38" s="175">
        <v>1190856</v>
      </c>
      <c r="G38" s="153" t="s">
        <v>384</v>
      </c>
      <c r="H38" s="176">
        <v>1167424</v>
      </c>
      <c r="I38" s="153" t="s">
        <v>444</v>
      </c>
      <c r="J38" s="293"/>
      <c r="K38" s="176"/>
      <c r="M38" s="11"/>
      <c r="N38" s="12">
        <f t="shared" ref="N38:N41" si="7">F38/10000000</f>
        <v>0.1190856</v>
      </c>
    </row>
    <row r="39" spans="1:14" s="10" customFormat="1" ht="21.75" customHeight="1" x14ac:dyDescent="0.3">
      <c r="A39" s="614"/>
      <c r="B39" s="615"/>
      <c r="C39" s="151" t="s">
        <v>446</v>
      </c>
      <c r="D39" s="174">
        <v>45922</v>
      </c>
      <c r="E39" s="152">
        <v>45870</v>
      </c>
      <c r="F39" s="175">
        <v>1350611</v>
      </c>
      <c r="G39" s="153" t="s">
        <v>384</v>
      </c>
      <c r="H39" s="176">
        <v>1350611</v>
      </c>
      <c r="I39" s="153" t="s">
        <v>444</v>
      </c>
      <c r="J39" s="293"/>
      <c r="K39" s="176"/>
      <c r="M39" s="11"/>
      <c r="N39" s="12">
        <f t="shared" si="7"/>
        <v>0.13506109999999999</v>
      </c>
    </row>
    <row r="40" spans="1:14" s="10" customFormat="1" ht="21.75" customHeight="1" x14ac:dyDescent="0.3">
      <c r="A40" s="614"/>
      <c r="B40" s="615"/>
      <c r="C40" s="151" t="s">
        <v>447</v>
      </c>
      <c r="D40" s="174">
        <v>45981</v>
      </c>
      <c r="E40" s="177" t="s">
        <v>448</v>
      </c>
      <c r="F40" s="176">
        <v>1671415</v>
      </c>
      <c r="G40" s="153" t="s">
        <v>384</v>
      </c>
      <c r="H40" s="176">
        <v>1671415</v>
      </c>
      <c r="I40" s="153" t="s">
        <v>444</v>
      </c>
      <c r="J40" s="293"/>
      <c r="K40" s="176"/>
      <c r="M40" s="11"/>
      <c r="N40" s="12">
        <f t="shared" si="7"/>
        <v>0.1671415</v>
      </c>
    </row>
    <row r="41" spans="1:14" s="10" customFormat="1" ht="21.75" customHeight="1" x14ac:dyDescent="0.3">
      <c r="A41" s="614"/>
      <c r="B41" s="615"/>
      <c r="C41" s="151" t="s">
        <v>449</v>
      </c>
      <c r="D41" s="174">
        <v>46038</v>
      </c>
      <c r="E41" s="177" t="s">
        <v>450</v>
      </c>
      <c r="F41" s="175">
        <v>2628416</v>
      </c>
      <c r="G41" s="153" t="s">
        <v>384</v>
      </c>
      <c r="H41" s="176">
        <v>2520186</v>
      </c>
      <c r="I41" s="153" t="s">
        <v>444</v>
      </c>
      <c r="J41" s="293"/>
      <c r="K41" s="176"/>
      <c r="L41" s="12">
        <f>SUM(F37:F41)</f>
        <v>7367022</v>
      </c>
      <c r="M41" s="8">
        <f>L41/10000000</f>
        <v>0.73670219999999997</v>
      </c>
      <c r="N41" s="12">
        <f t="shared" si="7"/>
        <v>0.26284160000000001</v>
      </c>
    </row>
    <row r="42" spans="1:14" s="10" customFormat="1" ht="21.75" customHeight="1" x14ac:dyDescent="0.3">
      <c r="A42" s="64"/>
      <c r="B42" s="63"/>
      <c r="C42" s="151" t="s">
        <v>451</v>
      </c>
      <c r="D42" s="174">
        <v>46057</v>
      </c>
      <c r="E42" s="177">
        <v>45992</v>
      </c>
      <c r="F42" s="175">
        <v>1028564</v>
      </c>
      <c r="G42" s="153" t="s">
        <v>384</v>
      </c>
      <c r="H42" s="176">
        <v>1020158</v>
      </c>
      <c r="I42" s="153" t="s">
        <v>444</v>
      </c>
      <c r="J42" s="294"/>
      <c r="K42" s="176"/>
      <c r="L42" s="12"/>
      <c r="M42" s="8"/>
      <c r="N42" s="12"/>
    </row>
    <row r="43" spans="1:14" ht="21.75" customHeight="1" x14ac:dyDescent="0.3">
      <c r="A43" s="64"/>
      <c r="B43" s="62"/>
      <c r="C43" s="62"/>
      <c r="D43" s="62"/>
      <c r="E43" s="64" t="s">
        <v>452</v>
      </c>
      <c r="F43" s="73">
        <f>SUM(F37:F42)</f>
        <v>8395586</v>
      </c>
      <c r="G43" s="60"/>
      <c r="H43" s="73">
        <f>SUM(H37:H42)</f>
        <v>8212073</v>
      </c>
      <c r="I43" s="60"/>
      <c r="J43" s="291"/>
      <c r="K43" s="81">
        <f>SUM(K37:K42)</f>
        <v>0</v>
      </c>
      <c r="M43" s="4"/>
    </row>
    <row r="44" spans="1:14" s="17" customFormat="1" ht="20.25" customHeight="1" x14ac:dyDescent="0.3">
      <c r="A44" s="614">
        <v>6</v>
      </c>
      <c r="B44" s="615" t="s">
        <v>453</v>
      </c>
      <c r="C44" s="191" t="s">
        <v>105</v>
      </c>
      <c r="D44" s="191">
        <v>46055</v>
      </c>
      <c r="E44" s="152">
        <v>45839</v>
      </c>
      <c r="F44" s="191">
        <v>840952.71</v>
      </c>
      <c r="G44" s="391" t="s">
        <v>454</v>
      </c>
      <c r="H44" s="191">
        <v>840952.71</v>
      </c>
      <c r="I44" s="192" t="s">
        <v>106</v>
      </c>
      <c r="J44" s="290"/>
      <c r="K44" s="229"/>
      <c r="L44" s="139"/>
    </row>
    <row r="45" spans="1:14" s="10" customFormat="1" ht="20.25" customHeight="1" x14ac:dyDescent="0.3">
      <c r="A45" s="614"/>
      <c r="B45" s="615"/>
      <c r="C45" s="191" t="s">
        <v>107</v>
      </c>
      <c r="D45" s="191">
        <v>46055</v>
      </c>
      <c r="E45" s="152">
        <v>45870</v>
      </c>
      <c r="F45" s="191">
        <v>2215560.39</v>
      </c>
      <c r="G45" s="391" t="s">
        <v>454</v>
      </c>
      <c r="H45" s="191">
        <v>2215560.39</v>
      </c>
      <c r="I45" s="192" t="s">
        <v>106</v>
      </c>
      <c r="J45" s="290"/>
      <c r="K45" s="229"/>
      <c r="L45" s="139"/>
      <c r="M45" s="11"/>
    </row>
    <row r="46" spans="1:14" s="11" customFormat="1" ht="20.25" customHeight="1" x14ac:dyDescent="0.3">
      <c r="A46" s="614"/>
      <c r="B46" s="615"/>
      <c r="C46" s="191" t="s">
        <v>108</v>
      </c>
      <c r="D46" s="191">
        <v>46055</v>
      </c>
      <c r="E46" s="191" t="s">
        <v>109</v>
      </c>
      <c r="F46" s="191">
        <v>4084336.95</v>
      </c>
      <c r="G46" s="391" t="s">
        <v>454</v>
      </c>
      <c r="H46" s="191">
        <v>4084336.95</v>
      </c>
      <c r="I46" s="192" t="s">
        <v>106</v>
      </c>
      <c r="J46" s="290"/>
      <c r="K46" s="229"/>
      <c r="L46" s="139"/>
    </row>
    <row r="47" spans="1:14" s="11" customFormat="1" ht="20.25" customHeight="1" thickBot="1" x14ac:dyDescent="0.35">
      <c r="A47" s="30"/>
      <c r="B47" s="21"/>
      <c r="C47" s="191" t="s">
        <v>110</v>
      </c>
      <c r="D47" s="191">
        <v>46070</v>
      </c>
      <c r="E47" s="191" t="s">
        <v>55</v>
      </c>
      <c r="F47" s="191">
        <v>5703517</v>
      </c>
      <c r="G47" s="391" t="s">
        <v>454</v>
      </c>
      <c r="H47" s="191">
        <v>5703517</v>
      </c>
      <c r="I47" s="192" t="s">
        <v>106</v>
      </c>
      <c r="J47" s="290"/>
      <c r="K47" s="229"/>
      <c r="L47" s="139"/>
    </row>
    <row r="48" spans="1:14" s="11" customFormat="1" ht="20.25" customHeight="1" thickBot="1" x14ac:dyDescent="0.35">
      <c r="A48" s="30"/>
      <c r="B48" s="21"/>
      <c r="C48" s="191" t="s">
        <v>111</v>
      </c>
      <c r="D48" s="191">
        <v>46070</v>
      </c>
      <c r="E48" s="191" t="s">
        <v>58</v>
      </c>
      <c r="F48" s="191">
        <v>5685511</v>
      </c>
      <c r="G48" s="391" t="s">
        <v>454</v>
      </c>
      <c r="H48" s="191">
        <v>5668850</v>
      </c>
      <c r="I48" s="192" t="s">
        <v>106</v>
      </c>
      <c r="J48" s="290"/>
      <c r="K48" s="229"/>
      <c r="L48" s="139"/>
      <c r="N48" s="329">
        <v>66787000</v>
      </c>
    </row>
    <row r="49" spans="1:14" s="11" customFormat="1" ht="20.25" customHeight="1" thickBot="1" x14ac:dyDescent="0.35">
      <c r="A49" s="30"/>
      <c r="B49" s="21"/>
      <c r="C49" s="191" t="s">
        <v>112</v>
      </c>
      <c r="D49" s="191">
        <v>46070</v>
      </c>
      <c r="E49" s="191" t="s">
        <v>60</v>
      </c>
      <c r="F49" s="191">
        <v>5687393</v>
      </c>
      <c r="G49" s="391" t="s">
        <v>454</v>
      </c>
      <c r="H49" s="191">
        <v>5687393</v>
      </c>
      <c r="I49" s="192" t="s">
        <v>106</v>
      </c>
      <c r="J49" s="290"/>
      <c r="K49" s="229"/>
      <c r="L49" s="139"/>
      <c r="N49" s="330">
        <v>3562329</v>
      </c>
    </row>
    <row r="50" spans="1:14" s="11" customFormat="1" ht="20.25" customHeight="1" x14ac:dyDescent="0.3">
      <c r="A50" s="30"/>
      <c r="B50" s="21"/>
      <c r="C50" s="191" t="s">
        <v>113</v>
      </c>
      <c r="D50" s="191">
        <v>46070</v>
      </c>
      <c r="E50" s="191" t="s">
        <v>114</v>
      </c>
      <c r="F50" s="191">
        <v>5711580</v>
      </c>
      <c r="G50" s="391" t="s">
        <v>454</v>
      </c>
      <c r="H50" s="191">
        <v>5711580</v>
      </c>
      <c r="I50" s="192" t="s">
        <v>106</v>
      </c>
      <c r="J50" s="290"/>
      <c r="K50" s="229"/>
      <c r="L50" s="139"/>
      <c r="N50" s="11">
        <f>SUM(N48:N49)</f>
        <v>70349329</v>
      </c>
    </row>
    <row r="51" spans="1:14" ht="20.25" customHeight="1" x14ac:dyDescent="0.3">
      <c r="A51" s="64"/>
      <c r="B51" s="62"/>
      <c r="C51" s="191"/>
      <c r="D51" s="191"/>
      <c r="E51" s="193" t="s">
        <v>455</v>
      </c>
      <c r="F51" s="194">
        <f>SUM(F44:F50)</f>
        <v>29928851.050000001</v>
      </c>
      <c r="G51" s="193"/>
      <c r="H51" s="194">
        <f>SUM(H44:H50)</f>
        <v>29912190.050000001</v>
      </c>
      <c r="I51" s="193"/>
      <c r="J51" s="289"/>
      <c r="K51" s="148">
        <f>SUM(K44:K50)</f>
        <v>0</v>
      </c>
      <c r="M51" s="4"/>
    </row>
    <row r="52" spans="1:14" ht="20.25" customHeight="1" x14ac:dyDescent="0.3">
      <c r="A52" s="64"/>
      <c r="B52" s="62"/>
      <c r="C52" s="143"/>
      <c r="D52" s="143"/>
      <c r="E52" s="143" t="s">
        <v>114</v>
      </c>
      <c r="F52" s="149"/>
      <c r="G52" s="148"/>
      <c r="H52" s="149"/>
      <c r="I52" s="148"/>
      <c r="J52" s="289"/>
      <c r="K52" s="148"/>
      <c r="M52" s="4"/>
    </row>
    <row r="53" spans="1:14" ht="20.25" customHeight="1" x14ac:dyDescent="0.3">
      <c r="A53" s="64"/>
      <c r="B53" s="62"/>
      <c r="C53" s="143"/>
      <c r="D53" s="143"/>
      <c r="E53" s="143" t="s">
        <v>114</v>
      </c>
      <c r="F53" s="149"/>
      <c r="G53" s="148"/>
      <c r="H53" s="149"/>
      <c r="I53" s="148"/>
      <c r="J53" s="289"/>
      <c r="K53" s="148"/>
      <c r="M53" s="4"/>
    </row>
    <row r="54" spans="1:14" ht="20.25" customHeight="1" x14ac:dyDescent="0.3">
      <c r="A54" s="64"/>
      <c r="B54" s="62"/>
      <c r="C54" s="143"/>
      <c r="D54" s="143"/>
      <c r="E54" s="143" t="s">
        <v>114</v>
      </c>
      <c r="F54" s="149"/>
      <c r="G54" s="148"/>
      <c r="H54" s="149"/>
      <c r="I54" s="148"/>
      <c r="J54" s="289"/>
      <c r="K54" s="148"/>
      <c r="M54" s="4"/>
    </row>
    <row r="55" spans="1:14" ht="20.25" customHeight="1" x14ac:dyDescent="0.3">
      <c r="A55" s="64"/>
      <c r="B55" s="62"/>
      <c r="C55" s="143"/>
      <c r="D55" s="143"/>
      <c r="E55" s="143" t="s">
        <v>114</v>
      </c>
      <c r="F55" s="149"/>
      <c r="G55" s="148"/>
      <c r="H55" s="149"/>
      <c r="I55" s="148"/>
      <c r="J55" s="289"/>
      <c r="K55" s="148"/>
      <c r="M55" s="4"/>
    </row>
    <row r="56" spans="1:14" ht="20.25" customHeight="1" x14ac:dyDescent="0.3">
      <c r="A56" s="64"/>
      <c r="B56" s="62"/>
      <c r="C56" s="143"/>
      <c r="D56" s="143"/>
      <c r="E56" s="143" t="s">
        <v>114</v>
      </c>
      <c r="F56" s="149"/>
      <c r="G56" s="148"/>
      <c r="H56" s="149"/>
      <c r="I56" s="148"/>
      <c r="J56" s="289"/>
      <c r="K56" s="148"/>
      <c r="M56" s="4"/>
    </row>
    <row r="57" spans="1:14" ht="20.25" customHeight="1" x14ac:dyDescent="0.3">
      <c r="A57" s="64"/>
      <c r="B57" s="62"/>
      <c r="C57" s="143"/>
      <c r="D57" s="143"/>
      <c r="E57" s="143" t="s">
        <v>114</v>
      </c>
      <c r="F57" s="149"/>
      <c r="G57" s="148"/>
      <c r="H57" s="149"/>
      <c r="I57" s="148"/>
      <c r="J57" s="289"/>
      <c r="K57" s="148"/>
      <c r="M57" s="4"/>
    </row>
    <row r="58" spans="1:14" s="15" customFormat="1" ht="20.25" customHeight="1" x14ac:dyDescent="0.3">
      <c r="A58" s="64"/>
      <c r="B58" s="63"/>
      <c r="C58" s="144"/>
      <c r="D58" s="144"/>
      <c r="E58" s="145"/>
      <c r="F58" s="146"/>
      <c r="G58" s="147"/>
      <c r="H58" s="146"/>
      <c r="I58" s="147"/>
      <c r="J58" s="295"/>
      <c r="K58" s="146">
        <f>+K23+K28+K36+K43+K51</f>
        <v>0</v>
      </c>
      <c r="L58" s="12">
        <f>F58-H58</f>
        <v>0</v>
      </c>
      <c r="M58" s="16"/>
    </row>
    <row r="59" spans="1:14" s="15" customFormat="1" ht="20.25" customHeight="1" x14ac:dyDescent="0.3">
      <c r="A59" s="32">
        <v>7</v>
      </c>
      <c r="B59" s="23" t="s">
        <v>456</v>
      </c>
      <c r="C59" s="23" t="s">
        <v>363</v>
      </c>
      <c r="D59" s="23"/>
      <c r="E59" s="53"/>
      <c r="F59" s="76"/>
      <c r="G59" s="33"/>
      <c r="H59" s="76"/>
      <c r="I59" s="33"/>
      <c r="J59" s="296"/>
      <c r="K59" s="82"/>
      <c r="M59" s="16"/>
    </row>
    <row r="60" spans="1:14" s="10" customFormat="1" ht="20.25" customHeight="1" x14ac:dyDescent="0.3">
      <c r="A60" s="614"/>
      <c r="B60" s="615" t="s">
        <v>457</v>
      </c>
      <c r="C60" s="209" t="s">
        <v>168</v>
      </c>
      <c r="D60" s="210">
        <v>45937</v>
      </c>
      <c r="E60" s="209" t="s">
        <v>458</v>
      </c>
      <c r="F60" s="211">
        <v>1925783.6</v>
      </c>
      <c r="G60" s="198" t="s">
        <v>384</v>
      </c>
      <c r="H60" s="211">
        <v>962892</v>
      </c>
      <c r="I60" s="212" t="s">
        <v>116</v>
      </c>
      <c r="J60" s="297"/>
      <c r="K60" s="199">
        <v>0</v>
      </c>
      <c r="L60" s="12"/>
      <c r="M60" s="8"/>
    </row>
    <row r="61" spans="1:14" s="10" customFormat="1" ht="20.25" customHeight="1" x14ac:dyDescent="0.3">
      <c r="A61" s="614"/>
      <c r="B61" s="615"/>
      <c r="C61" s="209" t="s">
        <v>170</v>
      </c>
      <c r="D61" s="210">
        <v>45937</v>
      </c>
      <c r="E61" s="209" t="s">
        <v>458</v>
      </c>
      <c r="F61" s="211">
        <v>358285.36</v>
      </c>
      <c r="G61" s="198" t="s">
        <v>384</v>
      </c>
      <c r="H61" s="211">
        <v>89571</v>
      </c>
      <c r="I61" s="212" t="s">
        <v>116</v>
      </c>
      <c r="J61" s="297"/>
      <c r="K61" s="199">
        <v>0</v>
      </c>
      <c r="L61" s="12"/>
      <c r="M61" s="8"/>
    </row>
    <row r="62" spans="1:14" s="10" customFormat="1" ht="20.25" customHeight="1" x14ac:dyDescent="0.3">
      <c r="A62" s="614"/>
      <c r="B62" s="615"/>
      <c r="C62" s="209" t="s">
        <v>171</v>
      </c>
      <c r="D62" s="210">
        <v>45937</v>
      </c>
      <c r="E62" s="209" t="s">
        <v>458</v>
      </c>
      <c r="F62" s="211">
        <v>358285.36</v>
      </c>
      <c r="G62" s="198" t="s">
        <v>384</v>
      </c>
      <c r="H62" s="211">
        <v>89572</v>
      </c>
      <c r="I62" s="212" t="s">
        <v>116</v>
      </c>
      <c r="J62" s="297"/>
      <c r="K62" s="199">
        <v>0</v>
      </c>
      <c r="L62" s="12"/>
      <c r="M62" s="8"/>
    </row>
    <row r="63" spans="1:14" s="10" customFormat="1" ht="20.25" customHeight="1" x14ac:dyDescent="0.3">
      <c r="A63" s="614"/>
      <c r="B63" s="615"/>
      <c r="C63" s="209" t="s">
        <v>172</v>
      </c>
      <c r="D63" s="210">
        <v>45937</v>
      </c>
      <c r="E63" s="209" t="s">
        <v>458</v>
      </c>
      <c r="F63" s="211">
        <v>358285.36</v>
      </c>
      <c r="G63" s="198" t="s">
        <v>384</v>
      </c>
      <c r="H63" s="211">
        <v>89572</v>
      </c>
      <c r="I63" s="212" t="s">
        <v>116</v>
      </c>
      <c r="J63" s="297"/>
      <c r="K63" s="199">
        <v>0</v>
      </c>
      <c r="L63" s="12"/>
      <c r="M63" s="8"/>
    </row>
    <row r="64" spans="1:14" s="10" customFormat="1" ht="21.6" customHeight="1" thickBot="1" x14ac:dyDescent="0.35">
      <c r="A64" s="187"/>
      <c r="B64" s="190"/>
      <c r="C64" s="189"/>
      <c r="D64" s="123"/>
      <c r="E64" s="99" t="s">
        <v>459</v>
      </c>
      <c r="F64" s="124">
        <f>SUM(F60:F63)</f>
        <v>3000639.6799999997</v>
      </c>
      <c r="G64" s="125"/>
      <c r="H64" s="124">
        <f>SUM(H60:H63)</f>
        <v>1231607</v>
      </c>
      <c r="I64" s="126"/>
      <c r="J64" s="292"/>
      <c r="K64" s="124">
        <f>SUM(K60:K63)</f>
        <v>0</v>
      </c>
      <c r="L64" s="12">
        <f>F64-H64</f>
        <v>1769032.6799999997</v>
      </c>
      <c r="M64" s="8"/>
    </row>
    <row r="65" spans="1:14" s="10" customFormat="1" ht="21.6" customHeight="1" thickBot="1" x14ac:dyDescent="0.35">
      <c r="A65" s="127"/>
      <c r="B65" s="128"/>
      <c r="C65" s="129"/>
      <c r="D65" s="130"/>
      <c r="E65" s="131" t="s">
        <v>460</v>
      </c>
      <c r="F65" s="132">
        <f>F16+F23+F28+F36+F43+F51+F64</f>
        <v>134230341.28</v>
      </c>
      <c r="G65" s="133"/>
      <c r="H65" s="132">
        <f>H16+H23+H28+H36+H43+H51+H64</f>
        <v>130879272.81999999</v>
      </c>
      <c r="I65" s="134"/>
      <c r="J65" s="298"/>
      <c r="K65" s="135">
        <f>K16+K23+K28+K36+K43+K51+K64</f>
        <v>0</v>
      </c>
      <c r="L65" s="12">
        <f>F65-H65</f>
        <v>3351068.4600000083</v>
      </c>
      <c r="M65" s="8"/>
    </row>
    <row r="66" spans="1:14" s="10" customFormat="1" ht="78" customHeight="1" x14ac:dyDescent="0.3">
      <c r="A66" s="188">
        <v>8</v>
      </c>
      <c r="B66" s="185" t="s">
        <v>461</v>
      </c>
      <c r="C66" s="195" t="s">
        <v>462</v>
      </c>
      <c r="D66" s="213"/>
      <c r="E66" s="214">
        <v>45870</v>
      </c>
      <c r="F66" s="215">
        <v>2612115</v>
      </c>
      <c r="G66" s="216" t="s">
        <v>463</v>
      </c>
      <c r="H66" s="215">
        <f>500000+1612115+500000</f>
        <v>2612115</v>
      </c>
      <c r="I66" s="216" t="s">
        <v>464</v>
      </c>
      <c r="J66" s="202"/>
      <c r="K66" s="217"/>
      <c r="L66" s="12">
        <f>F66</f>
        <v>2612115</v>
      </c>
      <c r="M66" s="8">
        <f>L66/10000000</f>
        <v>0.26121149999999999</v>
      </c>
    </row>
    <row r="67" spans="1:14" s="10" customFormat="1" ht="24.9" customHeight="1" x14ac:dyDescent="0.3">
      <c r="A67" s="30"/>
      <c r="B67" s="21"/>
      <c r="C67" s="21"/>
      <c r="D67" s="21"/>
      <c r="E67" s="30" t="s">
        <v>465</v>
      </c>
      <c r="F67" s="77">
        <f>+F66</f>
        <v>2612115</v>
      </c>
      <c r="G67" s="31"/>
      <c r="H67" s="77">
        <f>H66</f>
        <v>2612115</v>
      </c>
      <c r="I67" s="31"/>
      <c r="J67" s="21"/>
      <c r="K67" s="78"/>
      <c r="L67" s="12">
        <f>F69</f>
        <v>180402</v>
      </c>
      <c r="M67" s="11"/>
    </row>
    <row r="68" spans="1:14" s="10" customFormat="1" ht="37.5" customHeight="1" x14ac:dyDescent="0.3">
      <c r="A68" s="32">
        <v>9</v>
      </c>
      <c r="B68" s="23" t="s">
        <v>298</v>
      </c>
      <c r="C68" s="34" t="s">
        <v>466</v>
      </c>
      <c r="D68" s="34"/>
      <c r="E68" s="32"/>
      <c r="F68" s="76"/>
      <c r="G68" s="33"/>
      <c r="H68" s="76"/>
      <c r="I68" s="33"/>
      <c r="J68" s="34"/>
      <c r="K68" s="79"/>
      <c r="L68" s="12"/>
      <c r="M68" s="11"/>
    </row>
    <row r="69" spans="1:14" s="10" customFormat="1" ht="24.9" customHeight="1" x14ac:dyDescent="0.3">
      <c r="A69" s="30"/>
      <c r="B69" s="21"/>
      <c r="C69" s="195" t="s">
        <v>458</v>
      </c>
      <c r="D69" s="202"/>
      <c r="E69" s="196" t="s">
        <v>467</v>
      </c>
      <c r="F69" s="197">
        <v>180402</v>
      </c>
      <c r="G69" s="198" t="s">
        <v>384</v>
      </c>
      <c r="H69" s="197">
        <v>180402</v>
      </c>
      <c r="I69" s="198" t="s">
        <v>468</v>
      </c>
      <c r="J69" s="238"/>
      <c r="K69" s="199">
        <v>0</v>
      </c>
      <c r="L69" s="12">
        <f>F70</f>
        <v>16296</v>
      </c>
      <c r="M69" s="11"/>
      <c r="N69" s="13">
        <f>F69/10000000</f>
        <v>1.8040199999999999E-2</v>
      </c>
    </row>
    <row r="70" spans="1:14" s="10" customFormat="1" ht="24.9" customHeight="1" x14ac:dyDescent="0.3">
      <c r="A70" s="30"/>
      <c r="B70" s="21"/>
      <c r="C70" s="195" t="s">
        <v>469</v>
      </c>
      <c r="D70" s="202"/>
      <c r="E70" s="196" t="s">
        <v>470</v>
      </c>
      <c r="F70" s="197">
        <v>16296</v>
      </c>
      <c r="G70" s="198" t="s">
        <v>384</v>
      </c>
      <c r="H70" s="197">
        <v>16296</v>
      </c>
      <c r="I70" s="198" t="s">
        <v>468</v>
      </c>
      <c r="J70" s="238"/>
      <c r="K70" s="199">
        <v>0</v>
      </c>
      <c r="L70" s="12">
        <f>F71</f>
        <v>18144</v>
      </c>
      <c r="M70" s="8">
        <f>SUM(L67:L70)/10000000</f>
        <v>2.1484199999999998E-2</v>
      </c>
      <c r="N70" s="13">
        <f>F70/10000000</f>
        <v>1.6295999999999999E-3</v>
      </c>
    </row>
    <row r="71" spans="1:14" s="10" customFormat="1" ht="24.9" customHeight="1" x14ac:dyDescent="0.3">
      <c r="A71" s="30"/>
      <c r="B71" s="21"/>
      <c r="C71" s="195" t="s">
        <v>471</v>
      </c>
      <c r="D71" s="202"/>
      <c r="E71" s="196" t="s">
        <v>472</v>
      </c>
      <c r="F71" s="197">
        <v>18144</v>
      </c>
      <c r="G71" s="198" t="s">
        <v>384</v>
      </c>
      <c r="H71" s="197">
        <v>18144</v>
      </c>
      <c r="I71" s="198" t="s">
        <v>468</v>
      </c>
      <c r="J71" s="238"/>
      <c r="K71" s="199">
        <v>0</v>
      </c>
      <c r="L71" s="12"/>
      <c r="M71" s="8"/>
      <c r="N71" s="13"/>
    </row>
    <row r="72" spans="1:14" s="10" customFormat="1" ht="24.9" customHeight="1" x14ac:dyDescent="0.3">
      <c r="A72" s="30"/>
      <c r="B72" s="21"/>
      <c r="C72" s="59"/>
      <c r="D72" s="62"/>
      <c r="E72" s="68" t="s">
        <v>465</v>
      </c>
      <c r="F72" s="73">
        <f>SUM(F69:F71)</f>
        <v>214842</v>
      </c>
      <c r="G72" s="65"/>
      <c r="H72" s="73">
        <f>SUM(H69:H71)</f>
        <v>214842</v>
      </c>
      <c r="I72" s="65"/>
      <c r="J72" s="62"/>
      <c r="K72" s="78"/>
      <c r="L72" s="12"/>
      <c r="M72" s="8"/>
      <c r="N72" s="13"/>
    </row>
    <row r="73" spans="1:14" s="10" customFormat="1" ht="31.2" x14ac:dyDescent="0.3">
      <c r="A73" s="32">
        <v>10</v>
      </c>
      <c r="B73" s="23" t="s">
        <v>473</v>
      </c>
      <c r="C73" s="34" t="s">
        <v>474</v>
      </c>
      <c r="D73" s="34"/>
      <c r="E73" s="53"/>
      <c r="F73" s="76"/>
      <c r="G73" s="33"/>
      <c r="H73" s="76"/>
      <c r="I73" s="33"/>
      <c r="J73" s="34"/>
      <c r="K73" s="79"/>
      <c r="L73" s="12"/>
      <c r="M73" s="8"/>
      <c r="N73" s="13"/>
    </row>
    <row r="74" spans="1:14" s="10" customFormat="1" ht="29.4" customHeight="1" x14ac:dyDescent="0.3">
      <c r="A74" s="64"/>
      <c r="B74" s="62"/>
      <c r="C74" s="195">
        <v>20</v>
      </c>
      <c r="D74" s="202" t="s">
        <v>475</v>
      </c>
      <c r="E74" s="195"/>
      <c r="F74" s="197">
        <v>1128640</v>
      </c>
      <c r="G74" s="195" t="s">
        <v>476</v>
      </c>
      <c r="H74" s="197">
        <v>1128640</v>
      </c>
      <c r="I74" s="195" t="s">
        <v>477</v>
      </c>
      <c r="J74" s="202"/>
      <c r="K74" s="199">
        <v>0</v>
      </c>
      <c r="L74" s="12">
        <f>F74</f>
        <v>1128640</v>
      </c>
      <c r="M74" s="8">
        <f>L74/10000000</f>
        <v>0.11286400000000001</v>
      </c>
      <c r="N74" s="13">
        <f>F71/10000000</f>
        <v>1.8144000000000001E-3</v>
      </c>
    </row>
    <row r="75" spans="1:14" s="10" customFormat="1" ht="29.4" customHeight="1" x14ac:dyDescent="0.3">
      <c r="A75" s="64"/>
      <c r="B75" s="63"/>
      <c r="C75" s="59"/>
      <c r="D75" s="62"/>
      <c r="E75" s="64" t="s">
        <v>465</v>
      </c>
      <c r="F75" s="73">
        <f>SUM(F74)</f>
        <v>1128640</v>
      </c>
      <c r="G75" s="65"/>
      <c r="H75" s="73">
        <f>F75</f>
        <v>1128640</v>
      </c>
      <c r="I75" s="65"/>
      <c r="J75" s="62"/>
      <c r="K75" s="78"/>
      <c r="L75" s="12"/>
      <c r="M75" s="8"/>
      <c r="N75" s="13"/>
    </row>
    <row r="76" spans="1:14" s="15" customFormat="1" ht="15.6" x14ac:dyDescent="0.3">
      <c r="A76" s="617">
        <v>11</v>
      </c>
      <c r="B76" s="619" t="s">
        <v>478</v>
      </c>
      <c r="C76" s="218" t="s">
        <v>479</v>
      </c>
      <c r="D76" s="218" t="s">
        <v>480</v>
      </c>
      <c r="E76" s="219" t="s">
        <v>18</v>
      </c>
      <c r="F76" s="220">
        <v>1060000</v>
      </c>
      <c r="G76" s="195" t="s">
        <v>384</v>
      </c>
      <c r="H76" s="221">
        <v>1060000</v>
      </c>
      <c r="I76" s="222"/>
      <c r="J76" s="222"/>
      <c r="K76" s="220"/>
    </row>
    <row r="77" spans="1:14" s="10" customFormat="1" ht="33.75" customHeight="1" x14ac:dyDescent="0.3">
      <c r="A77" s="618"/>
      <c r="B77" s="615"/>
      <c r="C77" s="195" t="s">
        <v>481</v>
      </c>
      <c r="D77" s="195" t="s">
        <v>480</v>
      </c>
      <c r="E77" s="195" t="s">
        <v>482</v>
      </c>
      <c r="F77" s="195">
        <v>6722000</v>
      </c>
      <c r="G77" s="195" t="s">
        <v>384</v>
      </c>
      <c r="H77" s="195">
        <v>6722000</v>
      </c>
      <c r="I77" s="195" t="s">
        <v>483</v>
      </c>
      <c r="J77" s="195"/>
      <c r="K77" s="195" t="s">
        <v>484</v>
      </c>
    </row>
    <row r="78" spans="1:14" ht="31.2" x14ac:dyDescent="0.3">
      <c r="A78" s="113">
        <v>12</v>
      </c>
      <c r="B78" s="27" t="s">
        <v>485</v>
      </c>
      <c r="C78" s="195" t="s">
        <v>222</v>
      </c>
      <c r="D78" s="195" t="s">
        <v>385</v>
      </c>
      <c r="E78" s="195" t="s">
        <v>486</v>
      </c>
      <c r="F78" s="195">
        <f>105125+3000-91367</f>
        <v>16758</v>
      </c>
      <c r="G78" s="195" t="s">
        <v>384</v>
      </c>
      <c r="H78" s="195">
        <f>105125+3000</f>
        <v>108125</v>
      </c>
      <c r="I78" s="195" t="s">
        <v>487</v>
      </c>
      <c r="J78" s="195"/>
      <c r="K78" s="195" t="s">
        <v>484</v>
      </c>
    </row>
    <row r="79" spans="1:14" ht="15.6" x14ac:dyDescent="0.3">
      <c r="A79" s="113"/>
      <c r="B79" s="27"/>
      <c r="C79" s="195"/>
      <c r="D79" s="195"/>
      <c r="E79" s="195" t="s">
        <v>18</v>
      </c>
      <c r="F79" s="195">
        <v>91366</v>
      </c>
      <c r="G79" s="195" t="s">
        <v>384</v>
      </c>
      <c r="H79" s="195"/>
      <c r="I79" s="195" t="s">
        <v>488</v>
      </c>
      <c r="J79" s="195"/>
      <c r="K79" s="195" t="s">
        <v>484</v>
      </c>
    </row>
    <row r="80" spans="1:14" ht="31.5" customHeight="1" x14ac:dyDescent="0.3">
      <c r="A80" s="113">
        <v>13</v>
      </c>
      <c r="B80" s="27" t="s">
        <v>489</v>
      </c>
      <c r="C80" s="85" t="s">
        <v>222</v>
      </c>
      <c r="D80" s="84" t="s">
        <v>490</v>
      </c>
      <c r="E80" s="85" t="s">
        <v>18</v>
      </c>
      <c r="F80" s="142">
        <v>8470</v>
      </c>
      <c r="G80" s="50" t="s">
        <v>491</v>
      </c>
      <c r="H80" s="87"/>
      <c r="I80" s="85"/>
      <c r="J80" s="84"/>
      <c r="K80" s="142">
        <v>8470</v>
      </c>
    </row>
    <row r="81" spans="1:11" ht="46.8" x14ac:dyDescent="0.3">
      <c r="A81" s="140">
        <v>14</v>
      </c>
      <c r="B81" s="190" t="s">
        <v>492</v>
      </c>
      <c r="C81" s="195" t="s">
        <v>224</v>
      </c>
      <c r="D81" s="195" t="s">
        <v>336</v>
      </c>
      <c r="E81" s="195" t="s">
        <v>482</v>
      </c>
      <c r="F81" s="195">
        <v>116820000</v>
      </c>
      <c r="G81" s="195" t="s">
        <v>493</v>
      </c>
      <c r="H81" s="195">
        <f>16378000-16378000+36820000</f>
        <v>36820000</v>
      </c>
      <c r="I81" s="195" t="s">
        <v>494</v>
      </c>
      <c r="J81" s="195"/>
      <c r="K81" s="195"/>
    </row>
    <row r="82" spans="1:11" ht="15.6" x14ac:dyDescent="0.3">
      <c r="A82" s="140"/>
      <c r="B82" s="190" t="s">
        <v>495</v>
      </c>
      <c r="C82" s="195" t="s">
        <v>224</v>
      </c>
      <c r="D82" s="195"/>
      <c r="E82" s="195" t="s">
        <v>482</v>
      </c>
      <c r="F82" s="195"/>
      <c r="G82" s="195"/>
      <c r="H82" s="195">
        <v>960000</v>
      </c>
      <c r="I82" s="195" t="s">
        <v>494</v>
      </c>
      <c r="J82" s="195"/>
      <c r="K82" s="195"/>
    </row>
    <row r="83" spans="1:11" ht="15.6" x14ac:dyDescent="0.3">
      <c r="A83" s="140"/>
      <c r="B83" s="190" t="s">
        <v>496</v>
      </c>
      <c r="C83" s="195" t="s">
        <v>222</v>
      </c>
      <c r="D83" s="195"/>
      <c r="E83" s="195" t="s">
        <v>486</v>
      </c>
      <c r="F83" s="195"/>
      <c r="G83" s="195"/>
      <c r="H83" s="195">
        <f>18144+16296+180402+95180</f>
        <v>310022</v>
      </c>
      <c r="I83" s="195"/>
      <c r="J83" s="195"/>
      <c r="K83" s="195"/>
    </row>
    <row r="84" spans="1:11" ht="15.6" x14ac:dyDescent="0.3">
      <c r="A84" s="140"/>
      <c r="B84" s="190" t="s">
        <v>496</v>
      </c>
      <c r="C84" s="195" t="s">
        <v>223</v>
      </c>
      <c r="D84" s="195"/>
      <c r="E84" s="195" t="s">
        <v>486</v>
      </c>
      <c r="F84" s="195"/>
      <c r="G84" s="195"/>
      <c r="H84" s="195">
        <f>60513</f>
        <v>60513</v>
      </c>
      <c r="I84" s="195"/>
      <c r="J84" s="195"/>
      <c r="K84" s="195"/>
    </row>
    <row r="85" spans="1:11" ht="15.6" x14ac:dyDescent="0.3">
      <c r="A85" s="140"/>
      <c r="B85" s="190" t="s">
        <v>497</v>
      </c>
      <c r="C85" s="195" t="s">
        <v>224</v>
      </c>
      <c r="D85" s="195"/>
      <c r="E85" s="195" t="s">
        <v>498</v>
      </c>
      <c r="F85" s="195"/>
      <c r="G85" s="195"/>
      <c r="H85" s="312">
        <v>4202026</v>
      </c>
      <c r="I85" s="195" t="s">
        <v>494</v>
      </c>
      <c r="J85" s="195"/>
      <c r="K85" s="195"/>
    </row>
    <row r="86" spans="1:11" ht="15.6" x14ac:dyDescent="0.3">
      <c r="A86" s="140"/>
      <c r="B86" s="190" t="s">
        <v>499</v>
      </c>
      <c r="C86" s="195" t="s">
        <v>222</v>
      </c>
      <c r="D86" s="195"/>
      <c r="E86" s="195" t="s">
        <v>18</v>
      </c>
      <c r="F86" s="195"/>
      <c r="G86" s="195"/>
      <c r="H86" s="195">
        <v>56831</v>
      </c>
      <c r="I86" s="195"/>
      <c r="J86" s="195"/>
      <c r="K86" s="195"/>
    </row>
    <row r="87" spans="1:11" ht="15.6" x14ac:dyDescent="0.3">
      <c r="A87" s="140"/>
      <c r="B87" s="190" t="s">
        <v>500</v>
      </c>
      <c r="C87" s="195" t="s">
        <v>224</v>
      </c>
      <c r="D87" s="195"/>
      <c r="E87" s="195" t="s">
        <v>18</v>
      </c>
      <c r="F87" s="195"/>
      <c r="G87" s="195"/>
      <c r="H87" s="204">
        <v>33810</v>
      </c>
      <c r="I87" s="195"/>
      <c r="J87" s="195"/>
      <c r="K87" s="195"/>
    </row>
    <row r="88" spans="1:11" ht="17.25" customHeight="1" x14ac:dyDescent="0.3">
      <c r="A88" s="85"/>
      <c r="B88" s="84"/>
      <c r="C88" s="84"/>
      <c r="D88" s="84"/>
      <c r="E88" s="85"/>
      <c r="F88" s="141">
        <f>F65+F67+F72+F75+F76+F77+F78+F80+F81</f>
        <v>262813166.28</v>
      </c>
      <c r="G88" s="85"/>
      <c r="H88" s="85"/>
      <c r="I88" s="85"/>
      <c r="J88" s="84"/>
      <c r="K88" s="141" t="e">
        <f>K65+K67+K72+K75+K76+K77+K78+K80+K81</f>
        <v>#VALUE!</v>
      </c>
    </row>
    <row r="89" spans="1:11" ht="26.25" customHeight="1" x14ac:dyDescent="0.3">
      <c r="B89" s="165" t="s">
        <v>501</v>
      </c>
      <c r="C89" s="166" t="s">
        <v>502</v>
      </c>
      <c r="D89" s="167" t="s">
        <v>503</v>
      </c>
      <c r="E89" s="167" t="s">
        <v>504</v>
      </c>
      <c r="F89" s="167" t="s">
        <v>505</v>
      </c>
      <c r="G89" s="168" t="s">
        <v>506</v>
      </c>
      <c r="H89" s="167" t="s">
        <v>507</v>
      </c>
      <c r="I89" s="167" t="s">
        <v>508</v>
      </c>
      <c r="J89" s="169"/>
      <c r="K89" s="168" t="s">
        <v>509</v>
      </c>
    </row>
    <row r="90" spans="1:11" ht="15.6" x14ac:dyDescent="0.3">
      <c r="B90" s="186" t="s">
        <v>224</v>
      </c>
      <c r="C90" s="155" t="s">
        <v>510</v>
      </c>
      <c r="D90" s="157">
        <v>0</v>
      </c>
      <c r="E90" s="157">
        <v>1300000</v>
      </c>
      <c r="F90" s="157">
        <v>0</v>
      </c>
      <c r="G90" s="183">
        <f>H85</f>
        <v>4202026</v>
      </c>
      <c r="H90" s="163">
        <f t="shared" ref="H90:H98" si="8">E90-F90</f>
        <v>1300000</v>
      </c>
      <c r="I90" s="164">
        <f>E90-G90</f>
        <v>-2902026</v>
      </c>
      <c r="J90" s="157"/>
      <c r="K90" s="159">
        <f t="shared" ref="K90:K98" si="9">F90-G90</f>
        <v>-4202026</v>
      </c>
    </row>
    <row r="91" spans="1:11" ht="15.6" x14ac:dyDescent="0.3">
      <c r="B91" s="186" t="s">
        <v>224</v>
      </c>
      <c r="C91" s="155" t="s">
        <v>511</v>
      </c>
      <c r="D91" s="170">
        <f>1557169+500000-2060000</f>
        <v>-2831</v>
      </c>
      <c r="E91" s="157">
        <f>3000000+2060000</f>
        <v>5060000</v>
      </c>
      <c r="F91" s="160">
        <f>F76+F78+F67</f>
        <v>3688873</v>
      </c>
      <c r="G91" s="184">
        <f>H76+H78+H80+H87</f>
        <v>1201935</v>
      </c>
      <c r="H91" s="163">
        <f t="shared" si="8"/>
        <v>1371127</v>
      </c>
      <c r="I91" s="164">
        <f t="shared" ref="I91:I98" si="10">E91-G91</f>
        <v>3858065</v>
      </c>
      <c r="J91" s="157"/>
      <c r="K91" s="159">
        <f t="shared" si="9"/>
        <v>2486938</v>
      </c>
    </row>
    <row r="92" spans="1:11" ht="15.6" x14ac:dyDescent="0.3">
      <c r="B92" s="186" t="s">
        <v>224</v>
      </c>
      <c r="C92" s="155" t="s">
        <v>512</v>
      </c>
      <c r="D92" s="170">
        <f>26900000-26900000</f>
        <v>0</v>
      </c>
      <c r="E92" s="157">
        <v>26900000</v>
      </c>
      <c r="F92" s="157">
        <f>F77+F81</f>
        <v>123542000</v>
      </c>
      <c r="G92" s="183">
        <f>H77+H81+H82</f>
        <v>44502000</v>
      </c>
      <c r="H92" s="163">
        <f t="shared" si="8"/>
        <v>-96642000</v>
      </c>
      <c r="I92" s="164">
        <f t="shared" si="10"/>
        <v>-17602000</v>
      </c>
      <c r="J92" s="157"/>
      <c r="K92" s="159">
        <f t="shared" si="9"/>
        <v>79040000</v>
      </c>
    </row>
    <row r="93" spans="1:11" ht="15.6" x14ac:dyDescent="0.3">
      <c r="B93" s="186" t="s">
        <v>224</v>
      </c>
      <c r="C93" s="155" t="s">
        <v>16</v>
      </c>
      <c r="D93" s="157">
        <v>0</v>
      </c>
      <c r="E93" s="157">
        <v>1128640</v>
      </c>
      <c r="F93" s="160">
        <f>F74</f>
        <v>1128640</v>
      </c>
      <c r="G93" s="184">
        <f>H74</f>
        <v>1128640</v>
      </c>
      <c r="H93" s="163">
        <f t="shared" si="8"/>
        <v>0</v>
      </c>
      <c r="I93" s="164">
        <f t="shared" si="10"/>
        <v>0</v>
      </c>
      <c r="J93" s="157"/>
      <c r="K93" s="159">
        <f t="shared" si="9"/>
        <v>0</v>
      </c>
    </row>
    <row r="94" spans="1:11" ht="15.6" x14ac:dyDescent="0.3">
      <c r="B94" s="85" t="s">
        <v>222</v>
      </c>
      <c r="C94" s="84" t="s">
        <v>510</v>
      </c>
      <c r="D94" s="171">
        <f>53500000-53500000</f>
        <v>0</v>
      </c>
      <c r="E94" s="86">
        <f>90769800+53500000</f>
        <v>144269800</v>
      </c>
      <c r="F94" s="158">
        <f>F16+F18+F19+F28+F36+F51+F64+F20+F21+F22</f>
        <v>125834755.28</v>
      </c>
      <c r="G94" s="184">
        <f>H16+H18+H19+H28+H36+H51+H64+H20+H21+H22-H51</f>
        <v>92755009.769999996</v>
      </c>
      <c r="H94" s="163">
        <f>E94-F94</f>
        <v>18435044.719999999</v>
      </c>
      <c r="I94" s="164">
        <f t="shared" si="10"/>
        <v>51514790.230000004</v>
      </c>
      <c r="J94" s="86"/>
      <c r="K94" s="159">
        <f t="shared" si="9"/>
        <v>33079745.510000005</v>
      </c>
    </row>
    <row r="95" spans="1:11" ht="15.6" x14ac:dyDescent="0.3">
      <c r="B95" s="85" t="s">
        <v>222</v>
      </c>
      <c r="C95" s="84" t="s">
        <v>511</v>
      </c>
      <c r="D95" s="86">
        <v>0</v>
      </c>
      <c r="E95" s="86">
        <v>2000000</v>
      </c>
      <c r="F95" s="86">
        <v>0</v>
      </c>
      <c r="G95" s="183">
        <f>H86</f>
        <v>56831</v>
      </c>
      <c r="H95" s="163">
        <f t="shared" si="8"/>
        <v>2000000</v>
      </c>
      <c r="I95" s="164">
        <f t="shared" si="10"/>
        <v>1943169</v>
      </c>
      <c r="J95" s="86"/>
      <c r="K95" s="159">
        <f t="shared" si="9"/>
        <v>-56831</v>
      </c>
    </row>
    <row r="96" spans="1:11" ht="15.6" x14ac:dyDescent="0.3">
      <c r="B96" s="85" t="s">
        <v>222</v>
      </c>
      <c r="C96" s="84" t="s">
        <v>16</v>
      </c>
      <c r="D96" s="86">
        <v>0</v>
      </c>
      <c r="E96" s="86">
        <v>1300000</v>
      </c>
      <c r="F96" s="158">
        <f>F72</f>
        <v>214842</v>
      </c>
      <c r="G96" s="184">
        <f>H72+H83</f>
        <v>524864</v>
      </c>
      <c r="H96" s="163">
        <f t="shared" si="8"/>
        <v>1085158</v>
      </c>
      <c r="I96" s="164">
        <f t="shared" si="10"/>
        <v>775136</v>
      </c>
      <c r="J96" s="86"/>
      <c r="K96" s="159">
        <f t="shared" si="9"/>
        <v>-310022</v>
      </c>
    </row>
    <row r="97" spans="2:11" ht="15.6" x14ac:dyDescent="0.3">
      <c r="B97" s="150" t="s">
        <v>223</v>
      </c>
      <c r="C97" s="156" t="s">
        <v>510</v>
      </c>
      <c r="D97" s="161">
        <v>0</v>
      </c>
      <c r="E97" s="161">
        <v>23527000</v>
      </c>
      <c r="F97" s="162">
        <f>F20</f>
        <v>4005406</v>
      </c>
      <c r="G97" s="184">
        <f>H37+H38+H39+H40+H41+H42</f>
        <v>8212073</v>
      </c>
      <c r="H97" s="163">
        <f t="shared" si="8"/>
        <v>19521594</v>
      </c>
      <c r="I97" s="164">
        <f t="shared" si="10"/>
        <v>15314927</v>
      </c>
      <c r="J97" s="161"/>
      <c r="K97" s="159">
        <f t="shared" si="9"/>
        <v>-4206667</v>
      </c>
    </row>
    <row r="98" spans="2:11" ht="15.6" x14ac:dyDescent="0.3">
      <c r="B98" s="150" t="s">
        <v>223</v>
      </c>
      <c r="C98" s="156" t="s">
        <v>16</v>
      </c>
      <c r="D98" s="161">
        <v>0</v>
      </c>
      <c r="E98" s="161">
        <v>550000</v>
      </c>
      <c r="F98" s="161"/>
      <c r="G98" s="183">
        <f>H84</f>
        <v>60513</v>
      </c>
      <c r="H98" s="163">
        <f t="shared" si="8"/>
        <v>550000</v>
      </c>
      <c r="I98" s="164">
        <f t="shared" si="10"/>
        <v>489487</v>
      </c>
      <c r="J98" s="161"/>
      <c r="K98" s="159">
        <f t="shared" si="9"/>
        <v>-60513</v>
      </c>
    </row>
    <row r="99" spans="2:11" ht="15.6" x14ac:dyDescent="0.3">
      <c r="G99" s="14">
        <f>SUM(G90:G98)</f>
        <v>152643891.76999998</v>
      </c>
    </row>
    <row r="103" spans="2:11" x14ac:dyDescent="0.3">
      <c r="H103" s="4">
        <v>151639010</v>
      </c>
      <c r="I103" s="4">
        <v>70</v>
      </c>
      <c r="J103" s="5">
        <f>I103/I105*I104</f>
        <v>21</v>
      </c>
    </row>
    <row r="104" spans="2:11" x14ac:dyDescent="0.3">
      <c r="H104" s="590">
        <f>H103*0.21</f>
        <v>31844192.099999998</v>
      </c>
      <c r="I104" s="4">
        <v>30</v>
      </c>
    </row>
    <row r="105" spans="2:11" x14ac:dyDescent="0.3">
      <c r="I105" s="4">
        <v>100</v>
      </c>
    </row>
  </sheetData>
  <mergeCells count="17">
    <mergeCell ref="A1:K1"/>
    <mergeCell ref="A3:A15"/>
    <mergeCell ref="B3:B15"/>
    <mergeCell ref="A18:A19"/>
    <mergeCell ref="B18:B19"/>
    <mergeCell ref="A24:A27"/>
    <mergeCell ref="B24:B27"/>
    <mergeCell ref="A29:A35"/>
    <mergeCell ref="B29:B35"/>
    <mergeCell ref="A76:A77"/>
    <mergeCell ref="B76:B77"/>
    <mergeCell ref="A37:A41"/>
    <mergeCell ref="B37:B41"/>
    <mergeCell ref="A44:A46"/>
    <mergeCell ref="B44:B46"/>
    <mergeCell ref="A60:A63"/>
    <mergeCell ref="B60:B63"/>
  </mergeCells>
  <phoneticPr fontId="21" type="noConversion"/>
  <pageMargins left="0.22" right="0.27559055118110237" top="0.51181102362204722" bottom="0.31496062992125984" header="0.31496062992125984" footer="0.31496062992125984"/>
  <pageSetup scale="67" fitToHeight="0" orientation="portrait" r:id="rId1"/>
  <rowBreaks count="1" manualBreakCount="1">
    <brk id="43" max="8"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64B8-A0C8-4DEF-9824-B2390990A32A}">
  <sheetPr>
    <tabColor rgb="FFC00000"/>
    <pageSetUpPr fitToPage="1"/>
  </sheetPr>
  <dimension ref="A1:J25"/>
  <sheetViews>
    <sheetView zoomScale="85" zoomScaleNormal="85" workbookViewId="0">
      <selection activeCell="E7" sqref="E7"/>
    </sheetView>
  </sheetViews>
  <sheetFormatPr defaultRowHeight="14.4" x14ac:dyDescent="0.3"/>
  <cols>
    <col min="1" max="1" width="8.44140625" customWidth="1"/>
    <col min="2" max="2" width="36.6640625" customWidth="1"/>
    <col min="3" max="3" width="17.88671875" customWidth="1"/>
    <col min="4" max="4" width="16.88671875" customWidth="1"/>
    <col min="5" max="5" width="17.88671875" customWidth="1"/>
    <col min="6" max="6" width="16.88671875" customWidth="1"/>
    <col min="7" max="7" width="18.109375" customWidth="1"/>
    <col min="8" max="8" width="16.88671875" customWidth="1"/>
    <col min="9" max="9" width="17.44140625" customWidth="1"/>
    <col min="10" max="10" width="17.33203125" customWidth="1"/>
  </cols>
  <sheetData>
    <row r="1" spans="1:10" ht="66.75" customHeight="1" x14ac:dyDescent="0.55000000000000004">
      <c r="A1" s="621" t="s">
        <v>513</v>
      </c>
      <c r="B1" s="621"/>
      <c r="C1" s="621"/>
      <c r="D1" s="621"/>
      <c r="E1" s="621"/>
      <c r="F1" s="621"/>
      <c r="G1" s="621"/>
      <c r="H1" s="621"/>
      <c r="I1" s="621"/>
      <c r="J1" s="621"/>
    </row>
    <row r="2" spans="1:10" ht="21" x14ac:dyDescent="0.3">
      <c r="A2" s="342"/>
      <c r="B2" s="622" t="s">
        <v>514</v>
      </c>
      <c r="C2" s="622"/>
      <c r="D2" s="622"/>
      <c r="E2" s="622"/>
      <c r="F2" s="622"/>
      <c r="G2" s="622"/>
      <c r="H2" s="622"/>
      <c r="I2" s="622"/>
      <c r="J2" s="622"/>
    </row>
    <row r="3" spans="1:10" ht="82.5" customHeight="1" x14ac:dyDescent="0.3">
      <c r="A3" s="350" t="s">
        <v>213</v>
      </c>
      <c r="B3" s="351" t="s">
        <v>216</v>
      </c>
      <c r="C3" s="351" t="s">
        <v>515</v>
      </c>
      <c r="D3" s="351" t="s">
        <v>516</v>
      </c>
      <c r="E3" s="351" t="s">
        <v>517</v>
      </c>
      <c r="F3" s="351" t="s">
        <v>516</v>
      </c>
      <c r="G3" s="351" t="s">
        <v>518</v>
      </c>
      <c r="H3" s="351" t="s">
        <v>516</v>
      </c>
      <c r="I3" s="352" t="s">
        <v>519</v>
      </c>
      <c r="J3" s="352" t="s">
        <v>520</v>
      </c>
    </row>
    <row r="4" spans="1:10" s="353" customFormat="1" ht="33" customHeight="1" x14ac:dyDescent="0.3">
      <c r="A4" s="344">
        <v>1</v>
      </c>
      <c r="B4" s="344">
        <v>4</v>
      </c>
      <c r="C4" s="344">
        <v>5</v>
      </c>
      <c r="D4" s="344">
        <v>6</v>
      </c>
      <c r="E4" s="344">
        <v>7</v>
      </c>
      <c r="F4" s="344">
        <v>8</v>
      </c>
      <c r="G4" s="344">
        <v>9</v>
      </c>
      <c r="H4" s="344">
        <v>10</v>
      </c>
      <c r="I4" s="344">
        <v>11</v>
      </c>
      <c r="J4" s="344">
        <v>12</v>
      </c>
    </row>
    <row r="5" spans="1:10" ht="30.75" customHeight="1" x14ac:dyDescent="0.3">
      <c r="A5" s="343">
        <v>1</v>
      </c>
      <c r="B5" s="345" t="s">
        <v>226</v>
      </c>
      <c r="C5" s="347">
        <v>10800</v>
      </c>
      <c r="D5" s="354">
        <v>0</v>
      </c>
      <c r="E5" s="355">
        <v>4620</v>
      </c>
      <c r="F5" s="354">
        <v>0</v>
      </c>
      <c r="G5" s="355">
        <v>50000</v>
      </c>
      <c r="H5" s="354">
        <f>'[1]FIELD DETAIL'!N39</f>
        <v>0</v>
      </c>
      <c r="I5" s="354">
        <f>C5+E5+G5</f>
        <v>65420</v>
      </c>
      <c r="J5" s="354">
        <f>D5+F5+H5</f>
        <v>0</v>
      </c>
    </row>
    <row r="6" spans="1:10" ht="26.25" customHeight="1" x14ac:dyDescent="0.3">
      <c r="A6" s="343">
        <v>2</v>
      </c>
      <c r="B6" s="345" t="s">
        <v>227</v>
      </c>
      <c r="C6" s="347">
        <v>3500</v>
      </c>
      <c r="D6" s="354">
        <v>0</v>
      </c>
      <c r="E6" s="355">
        <v>1500</v>
      </c>
      <c r="F6" s="354">
        <v>0</v>
      </c>
      <c r="G6" s="355">
        <v>20000</v>
      </c>
      <c r="H6" s="354">
        <f>'BILLS 27 For Pay'!G138</f>
        <v>0</v>
      </c>
      <c r="I6" s="354">
        <f t="shared" ref="I6:J19" si="0">C6+E6+G6</f>
        <v>25000</v>
      </c>
      <c r="J6" s="354">
        <f t="shared" si="0"/>
        <v>0</v>
      </c>
    </row>
    <row r="7" spans="1:10" ht="26.25" customHeight="1" x14ac:dyDescent="0.3">
      <c r="A7" s="343">
        <v>3</v>
      </c>
      <c r="B7" s="345" t="s">
        <v>229</v>
      </c>
      <c r="C7" s="347">
        <v>495800</v>
      </c>
      <c r="D7" s="354">
        <f>'BILLS 27 For Pay'!E139/1000</f>
        <v>160192.27705</v>
      </c>
      <c r="E7" s="355">
        <v>212500</v>
      </c>
      <c r="F7" s="354">
        <f>'BILLS 27 For Pay'!F139/1000</f>
        <v>51054.461000000003</v>
      </c>
      <c r="G7" s="355">
        <v>200000</v>
      </c>
      <c r="H7" s="354">
        <f>'BILLS 27 For Pay'!G139/1000</f>
        <v>50543.968000000001</v>
      </c>
      <c r="I7" s="354">
        <f t="shared" si="0"/>
        <v>908300</v>
      </c>
      <c r="J7" s="354">
        <f>D7+F7+H7</f>
        <v>261790.70605000001</v>
      </c>
    </row>
    <row r="8" spans="1:10" ht="26.25" customHeight="1" x14ac:dyDescent="0.3">
      <c r="A8" s="343">
        <v>4</v>
      </c>
      <c r="B8" s="345" t="s">
        <v>230</v>
      </c>
      <c r="C8" s="347">
        <v>7000</v>
      </c>
      <c r="D8" s="354">
        <v>0</v>
      </c>
      <c r="E8" s="355">
        <v>3000</v>
      </c>
      <c r="F8" s="354">
        <v>0</v>
      </c>
      <c r="G8" s="355">
        <v>20000</v>
      </c>
      <c r="H8" s="354">
        <v>0</v>
      </c>
      <c r="I8" s="354">
        <f t="shared" si="0"/>
        <v>30000</v>
      </c>
      <c r="J8" s="354">
        <f t="shared" si="0"/>
        <v>0</v>
      </c>
    </row>
    <row r="9" spans="1:10" ht="26.25" customHeight="1" x14ac:dyDescent="0.3">
      <c r="A9" s="343">
        <v>5</v>
      </c>
      <c r="B9" s="345" t="s">
        <v>231</v>
      </c>
      <c r="C9" s="347">
        <v>14000</v>
      </c>
      <c r="D9" s="354">
        <v>0</v>
      </c>
      <c r="E9" s="355">
        <v>6000</v>
      </c>
      <c r="F9" s="354">
        <v>0</v>
      </c>
      <c r="G9" s="355">
        <v>300000</v>
      </c>
      <c r="H9" s="354">
        <f>'BILLS 27 For Pay'!G141/1000</f>
        <v>21486.154999999999</v>
      </c>
      <c r="I9" s="354">
        <f t="shared" si="0"/>
        <v>320000</v>
      </c>
      <c r="J9" s="354">
        <f t="shared" si="0"/>
        <v>21486.154999999999</v>
      </c>
    </row>
    <row r="10" spans="1:10" ht="26.25" customHeight="1" x14ac:dyDescent="0.3">
      <c r="A10" s="343">
        <v>6</v>
      </c>
      <c r="B10" s="345" t="s">
        <v>232</v>
      </c>
      <c r="C10" s="347">
        <v>14000</v>
      </c>
      <c r="D10" s="354">
        <v>0</v>
      </c>
      <c r="E10" s="355">
        <v>6000</v>
      </c>
      <c r="F10" s="354">
        <v>0</v>
      </c>
      <c r="G10" s="355">
        <v>50000</v>
      </c>
      <c r="H10" s="354">
        <f>'BILLS 27 For Pay'!G142/1000</f>
        <v>4779</v>
      </c>
      <c r="I10" s="354">
        <f t="shared" si="0"/>
        <v>70000</v>
      </c>
      <c r="J10" s="354">
        <f t="shared" si="0"/>
        <v>4779</v>
      </c>
    </row>
    <row r="11" spans="1:10" ht="26.25" customHeight="1" x14ac:dyDescent="0.3">
      <c r="A11" s="343">
        <v>7</v>
      </c>
      <c r="B11" s="345" t="s">
        <v>233</v>
      </c>
      <c r="C11" s="347">
        <v>1</v>
      </c>
      <c r="D11" s="354">
        <v>0</v>
      </c>
      <c r="E11" s="355">
        <v>1</v>
      </c>
      <c r="F11" s="354">
        <v>0</v>
      </c>
      <c r="G11" s="355">
        <v>1</v>
      </c>
      <c r="H11" s="354">
        <v>0</v>
      </c>
      <c r="I11" s="354">
        <f t="shared" si="0"/>
        <v>3</v>
      </c>
      <c r="J11" s="354">
        <f t="shared" si="0"/>
        <v>0</v>
      </c>
    </row>
    <row r="12" spans="1:10" ht="26.25" customHeight="1" x14ac:dyDescent="0.3">
      <c r="A12" s="343">
        <v>8</v>
      </c>
      <c r="B12" s="345" t="s">
        <v>234</v>
      </c>
      <c r="C12" s="347">
        <v>35000</v>
      </c>
      <c r="D12" s="354">
        <v>0</v>
      </c>
      <c r="E12" s="355">
        <v>15000</v>
      </c>
      <c r="F12" s="354">
        <v>0</v>
      </c>
      <c r="G12" s="355">
        <v>600000</v>
      </c>
      <c r="H12" s="354">
        <f>'BILLS 27 For Pay'!H144/1000</f>
        <v>4701.3459999999995</v>
      </c>
      <c r="I12" s="354">
        <f t="shared" si="0"/>
        <v>650000</v>
      </c>
      <c r="J12" s="354">
        <f t="shared" si="0"/>
        <v>4701.3459999999995</v>
      </c>
    </row>
    <row r="13" spans="1:10" ht="26.25" customHeight="1" x14ac:dyDescent="0.3">
      <c r="A13" s="343">
        <v>9</v>
      </c>
      <c r="B13" s="345" t="s">
        <v>235</v>
      </c>
      <c r="C13" s="347">
        <v>1</v>
      </c>
      <c r="D13" s="354">
        <v>0</v>
      </c>
      <c r="E13" s="355">
        <v>1</v>
      </c>
      <c r="F13" s="354">
        <v>0</v>
      </c>
      <c r="G13" s="355">
        <v>10000</v>
      </c>
      <c r="H13" s="354">
        <v>0</v>
      </c>
      <c r="I13" s="354">
        <f t="shared" si="0"/>
        <v>10002</v>
      </c>
      <c r="J13" s="354">
        <f t="shared" si="0"/>
        <v>0</v>
      </c>
    </row>
    <row r="14" spans="1:10" ht="26.25" customHeight="1" x14ac:dyDescent="0.3">
      <c r="A14" s="343">
        <v>10</v>
      </c>
      <c r="B14" s="345" t="s">
        <v>236</v>
      </c>
      <c r="C14" s="347">
        <v>1</v>
      </c>
      <c r="D14" s="354">
        <v>0</v>
      </c>
      <c r="E14" s="355">
        <v>1</v>
      </c>
      <c r="F14" s="354">
        <v>0</v>
      </c>
      <c r="G14" s="355">
        <v>5000</v>
      </c>
      <c r="H14" s="354">
        <v>0</v>
      </c>
      <c r="I14" s="354">
        <f t="shared" si="0"/>
        <v>5002</v>
      </c>
      <c r="J14" s="354">
        <f t="shared" si="0"/>
        <v>0</v>
      </c>
    </row>
    <row r="15" spans="1:10" ht="26.25" customHeight="1" x14ac:dyDescent="0.3">
      <c r="A15" s="343">
        <v>11</v>
      </c>
      <c r="B15" s="345" t="s">
        <v>237</v>
      </c>
      <c r="C15" s="347">
        <v>58800</v>
      </c>
      <c r="D15" s="354">
        <v>0</v>
      </c>
      <c r="E15" s="355">
        <v>25200</v>
      </c>
      <c r="F15" s="354">
        <v>0</v>
      </c>
      <c r="G15" s="355">
        <v>60000</v>
      </c>
      <c r="H15" s="354">
        <f>'BILLS 27 For Pay'!G147/1000</f>
        <v>500</v>
      </c>
      <c r="I15" s="354">
        <f t="shared" si="0"/>
        <v>144000</v>
      </c>
      <c r="J15" s="354">
        <f t="shared" si="0"/>
        <v>500</v>
      </c>
    </row>
    <row r="16" spans="1:10" ht="26.25" customHeight="1" x14ac:dyDescent="0.3">
      <c r="A16" s="343">
        <v>12</v>
      </c>
      <c r="B16" s="345" t="s">
        <v>238</v>
      </c>
      <c r="C16" s="347">
        <v>1</v>
      </c>
      <c r="D16" s="354">
        <v>0</v>
      </c>
      <c r="E16" s="355">
        <v>1</v>
      </c>
      <c r="F16" s="354">
        <v>0</v>
      </c>
      <c r="G16" s="355">
        <v>244999</v>
      </c>
      <c r="H16" s="354">
        <v>0</v>
      </c>
      <c r="I16" s="354">
        <f t="shared" si="0"/>
        <v>245001</v>
      </c>
      <c r="J16" s="354">
        <f t="shared" si="0"/>
        <v>0</v>
      </c>
    </row>
    <row r="17" spans="1:10" ht="26.25" customHeight="1" x14ac:dyDescent="0.3">
      <c r="A17" s="343">
        <v>13</v>
      </c>
      <c r="B17" s="345" t="s">
        <v>239</v>
      </c>
      <c r="C17" s="347">
        <v>110800</v>
      </c>
      <c r="D17" s="354">
        <v>0</v>
      </c>
      <c r="E17" s="355">
        <v>47500</v>
      </c>
      <c r="F17" s="354">
        <v>0</v>
      </c>
      <c r="G17" s="355">
        <v>80000</v>
      </c>
      <c r="H17" s="354">
        <v>0</v>
      </c>
      <c r="I17" s="354">
        <f t="shared" si="0"/>
        <v>238300</v>
      </c>
      <c r="J17" s="354">
        <f t="shared" si="0"/>
        <v>0</v>
      </c>
    </row>
    <row r="18" spans="1:10" ht="34.5" customHeight="1" x14ac:dyDescent="0.3">
      <c r="A18" s="343">
        <v>14</v>
      </c>
      <c r="B18" s="345" t="s">
        <v>240</v>
      </c>
      <c r="C18" s="356">
        <v>7000</v>
      </c>
      <c r="D18" s="354">
        <v>0</v>
      </c>
      <c r="E18" s="355">
        <v>3000</v>
      </c>
      <c r="F18" s="354">
        <v>0</v>
      </c>
      <c r="G18" s="355">
        <v>550000</v>
      </c>
      <c r="H18" s="354">
        <f>'BILLS 27 For Pay'!W132/1000</f>
        <v>349600</v>
      </c>
      <c r="I18" s="354">
        <f t="shared" si="0"/>
        <v>560000</v>
      </c>
      <c r="J18" s="354">
        <f t="shared" si="0"/>
        <v>349600</v>
      </c>
    </row>
    <row r="19" spans="1:10" ht="26.25" customHeight="1" x14ac:dyDescent="0.3">
      <c r="A19" s="343"/>
      <c r="B19" s="343" t="s">
        <v>220</v>
      </c>
      <c r="C19" s="416">
        <f>SUM(C5:C18)</f>
        <v>756704</v>
      </c>
      <c r="D19" s="417">
        <f>SUM(D5:D18)</f>
        <v>160192.27705</v>
      </c>
      <c r="E19" s="417">
        <f t="shared" ref="E19:H19" si="1">SUM(E5:E18)</f>
        <v>324324</v>
      </c>
      <c r="F19" s="417">
        <f t="shared" si="1"/>
        <v>51054.461000000003</v>
      </c>
      <c r="G19" s="417">
        <f t="shared" si="1"/>
        <v>2190000</v>
      </c>
      <c r="H19" s="417">
        <f t="shared" si="1"/>
        <v>431610.46899999998</v>
      </c>
      <c r="I19" s="354">
        <f t="shared" si="0"/>
        <v>3271028</v>
      </c>
      <c r="J19" s="354">
        <f>D19+F19+H19</f>
        <v>642857.20704999997</v>
      </c>
    </row>
    <row r="20" spans="1:10" ht="18.75" customHeight="1" x14ac:dyDescent="0.3">
      <c r="A20" s="342"/>
      <c r="B20" s="342"/>
      <c r="C20" s="342"/>
      <c r="D20" s="342"/>
      <c r="E20" s="342"/>
      <c r="F20" s="342"/>
      <c r="G20" s="342"/>
      <c r="H20" s="342"/>
      <c r="I20" s="418"/>
      <c r="J20" s="418"/>
    </row>
    <row r="21" spans="1:10" ht="22.5" customHeight="1" x14ac:dyDescent="0.3">
      <c r="A21" s="358"/>
      <c r="B21" s="358"/>
      <c r="C21" s="358"/>
      <c r="D21" s="358"/>
      <c r="E21" s="358"/>
      <c r="F21" s="358"/>
      <c r="G21" s="358"/>
      <c r="H21" s="358"/>
    </row>
    <row r="22" spans="1:10" ht="45" customHeight="1" x14ac:dyDescent="0.3">
      <c r="A22" s="358"/>
      <c r="B22" s="358"/>
      <c r="C22" s="358"/>
      <c r="D22" s="358"/>
      <c r="E22" s="358"/>
      <c r="F22" s="358"/>
      <c r="G22" s="358"/>
      <c r="H22" s="358"/>
    </row>
    <row r="23" spans="1:10" ht="21" x14ac:dyDescent="0.3">
      <c r="A23" s="358"/>
      <c r="B23" s="358"/>
      <c r="C23" s="358"/>
      <c r="D23" s="358"/>
      <c r="E23" s="358"/>
      <c r="F23" s="358"/>
      <c r="G23" s="358"/>
      <c r="H23" s="358"/>
    </row>
    <row r="24" spans="1:10" ht="21" x14ac:dyDescent="0.3">
      <c r="A24" s="358"/>
      <c r="B24" s="358"/>
      <c r="C24" s="358"/>
      <c r="D24" s="358"/>
      <c r="E24" s="358"/>
      <c r="F24" s="358"/>
      <c r="G24" s="358"/>
      <c r="H24" s="358"/>
    </row>
    <row r="25" spans="1:10" ht="21" x14ac:dyDescent="0.3">
      <c r="A25" s="358"/>
      <c r="B25" s="358"/>
      <c r="C25" s="358"/>
      <c r="D25" s="358"/>
      <c r="E25" s="358"/>
      <c r="F25" s="358"/>
      <c r="G25" s="358"/>
      <c r="H25" s="358"/>
    </row>
  </sheetData>
  <mergeCells count="2">
    <mergeCell ref="A1:J1"/>
    <mergeCell ref="B2:J2"/>
  </mergeCells>
  <printOptions horizontalCentered="1"/>
  <pageMargins left="0.70866141732283472" right="0.70866141732283472" top="0.55118110236220474" bottom="0.55118110236220474" header="0.31496062992125984" footer="0.31496062992125984"/>
  <pageSetup paperSize="9" scale="65" orientation="landscape" r:id="rId1"/>
  <headerFooter>
    <oddFooter>&amp;L&amp;8&amp;Z&amp;F&amp;F&amp;A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9F987-5512-45EA-B928-C0791EA6B57B}">
  <sheetPr>
    <tabColor rgb="FFC00000"/>
    <pageSetUpPr fitToPage="1"/>
  </sheetPr>
  <dimension ref="A1:J25"/>
  <sheetViews>
    <sheetView zoomScale="85" zoomScaleNormal="85" workbookViewId="0">
      <selection activeCell="G7" sqref="G7"/>
    </sheetView>
  </sheetViews>
  <sheetFormatPr defaultRowHeight="14.4" x14ac:dyDescent="0.3"/>
  <cols>
    <col min="1" max="1" width="8.44140625" customWidth="1"/>
    <col min="2" max="2" width="36.6640625" customWidth="1"/>
    <col min="3" max="3" width="17.88671875" customWidth="1"/>
    <col min="4" max="4" width="16.88671875" customWidth="1"/>
    <col min="5" max="5" width="17.88671875" customWidth="1"/>
    <col min="6" max="6" width="16.88671875" customWidth="1"/>
    <col min="7" max="7" width="18.109375" customWidth="1"/>
    <col min="8" max="8" width="16.88671875" customWidth="1"/>
    <col min="9" max="9" width="17.44140625" customWidth="1"/>
    <col min="10" max="10" width="17.33203125" customWidth="1"/>
  </cols>
  <sheetData>
    <row r="1" spans="1:10" ht="66.75" customHeight="1" x14ac:dyDescent="0.55000000000000004">
      <c r="A1" s="621" t="s">
        <v>521</v>
      </c>
      <c r="B1" s="621"/>
      <c r="C1" s="621"/>
      <c r="D1" s="621"/>
      <c r="E1" s="621"/>
      <c r="F1" s="621"/>
      <c r="G1" s="621"/>
      <c r="H1" s="621"/>
      <c r="I1" s="621"/>
      <c r="J1" s="621"/>
    </row>
    <row r="2" spans="1:10" ht="21" x14ac:dyDescent="0.3">
      <c r="A2" s="342"/>
      <c r="B2" s="622" t="s">
        <v>514</v>
      </c>
      <c r="C2" s="622"/>
      <c r="D2" s="622"/>
      <c r="E2" s="622"/>
      <c r="F2" s="622"/>
      <c r="G2" s="622"/>
      <c r="H2" s="622"/>
      <c r="I2" s="622"/>
      <c r="J2" s="622"/>
    </row>
    <row r="3" spans="1:10" ht="97.5" customHeight="1" x14ac:dyDescent="0.3">
      <c r="A3" s="350" t="s">
        <v>213</v>
      </c>
      <c r="B3" s="351" t="s">
        <v>216</v>
      </c>
      <c r="C3" s="351" t="s">
        <v>515</v>
      </c>
      <c r="D3" s="351" t="s">
        <v>522</v>
      </c>
      <c r="E3" s="351" t="s">
        <v>517</v>
      </c>
      <c r="F3" s="351" t="s">
        <v>522</v>
      </c>
      <c r="G3" s="351" t="s">
        <v>518</v>
      </c>
      <c r="H3" s="351" t="s">
        <v>522</v>
      </c>
      <c r="I3" s="352" t="s">
        <v>523</v>
      </c>
      <c r="J3" s="352" t="s">
        <v>524</v>
      </c>
    </row>
    <row r="4" spans="1:10" s="353" customFormat="1" ht="33" customHeight="1" x14ac:dyDescent="0.3">
      <c r="A4" s="344">
        <v>1</v>
      </c>
      <c r="B4" s="344">
        <v>4</v>
      </c>
      <c r="C4" s="344">
        <v>5</v>
      </c>
      <c r="D4" s="344">
        <v>6</v>
      </c>
      <c r="E4" s="344">
        <v>7</v>
      </c>
      <c r="F4" s="344">
        <v>8</v>
      </c>
      <c r="G4" s="344">
        <v>9</v>
      </c>
      <c r="H4" s="344">
        <v>10</v>
      </c>
      <c r="I4" s="344">
        <v>11</v>
      </c>
      <c r="J4" s="344">
        <v>12</v>
      </c>
    </row>
    <row r="5" spans="1:10" ht="30.75" customHeight="1" x14ac:dyDescent="0.3">
      <c r="A5" s="343">
        <v>1</v>
      </c>
      <c r="B5" s="345" t="s">
        <v>226</v>
      </c>
      <c r="C5" s="347">
        <v>10800</v>
      </c>
      <c r="D5" s="354">
        <v>0</v>
      </c>
      <c r="E5" s="355">
        <v>4620</v>
      </c>
      <c r="F5" s="354">
        <v>0</v>
      </c>
      <c r="G5" s="355">
        <v>50000</v>
      </c>
      <c r="H5" s="354">
        <f>'[1]FIELD DETAIL'!N39</f>
        <v>0</v>
      </c>
      <c r="I5" s="354">
        <f>C5+E5+G5</f>
        <v>65420</v>
      </c>
      <c r="J5" s="354">
        <f>D5+F5+H5</f>
        <v>0</v>
      </c>
    </row>
    <row r="6" spans="1:10" ht="26.25" customHeight="1" x14ac:dyDescent="0.3">
      <c r="A6" s="343">
        <v>2</v>
      </c>
      <c r="B6" s="345" t="s">
        <v>227</v>
      </c>
      <c r="C6" s="347">
        <v>3500</v>
      </c>
      <c r="D6" s="354">
        <v>0</v>
      </c>
      <c r="E6" s="355">
        <v>1500</v>
      </c>
      <c r="F6" s="354">
        <v>0</v>
      </c>
      <c r="G6" s="355">
        <v>20000</v>
      </c>
      <c r="H6" s="354">
        <f>G6/4</f>
        <v>5000</v>
      </c>
      <c r="I6" s="354">
        <f t="shared" ref="I6:J19" si="0">C6+E6+G6</f>
        <v>25000</v>
      </c>
      <c r="J6" s="354">
        <f t="shared" si="0"/>
        <v>5000</v>
      </c>
    </row>
    <row r="7" spans="1:10" ht="26.25" customHeight="1" x14ac:dyDescent="0.3">
      <c r="A7" s="343">
        <v>3</v>
      </c>
      <c r="B7" s="345" t="s">
        <v>229</v>
      </c>
      <c r="C7" s="347">
        <v>495800</v>
      </c>
      <c r="D7" s="354">
        <v>150000</v>
      </c>
      <c r="E7" s="355">
        <v>212500</v>
      </c>
      <c r="F7" s="354">
        <v>50000</v>
      </c>
      <c r="G7" s="355">
        <v>200000</v>
      </c>
      <c r="H7" s="354">
        <f>46000+4000</f>
        <v>50000</v>
      </c>
      <c r="I7" s="354">
        <f t="shared" si="0"/>
        <v>908300</v>
      </c>
      <c r="J7" s="354">
        <f t="shared" si="0"/>
        <v>250000</v>
      </c>
    </row>
    <row r="8" spans="1:10" ht="26.25" customHeight="1" x14ac:dyDescent="0.3">
      <c r="A8" s="343">
        <v>4</v>
      </c>
      <c r="B8" s="345" t="s">
        <v>230</v>
      </c>
      <c r="C8" s="347">
        <v>7000</v>
      </c>
      <c r="D8" s="354">
        <v>0</v>
      </c>
      <c r="E8" s="355">
        <v>3000</v>
      </c>
      <c r="F8" s="354">
        <v>0</v>
      </c>
      <c r="G8" s="355">
        <v>20000</v>
      </c>
      <c r="H8" s="354">
        <v>0</v>
      </c>
      <c r="I8" s="354">
        <f t="shared" si="0"/>
        <v>30000</v>
      </c>
      <c r="J8" s="354">
        <f t="shared" si="0"/>
        <v>0</v>
      </c>
    </row>
    <row r="9" spans="1:10" ht="26.25" customHeight="1" x14ac:dyDescent="0.3">
      <c r="A9" s="343">
        <v>5</v>
      </c>
      <c r="B9" s="345" t="s">
        <v>231</v>
      </c>
      <c r="C9" s="347">
        <v>14000</v>
      </c>
      <c r="D9" s="354">
        <v>0</v>
      </c>
      <c r="E9" s="355">
        <v>6000</v>
      </c>
      <c r="F9" s="354">
        <v>0</v>
      </c>
      <c r="G9" s="355">
        <v>300000</v>
      </c>
      <c r="H9" s="354">
        <f t="shared" ref="H9:H15" si="1">G9/4</f>
        <v>75000</v>
      </c>
      <c r="I9" s="354">
        <f t="shared" si="0"/>
        <v>320000</v>
      </c>
      <c r="J9" s="354">
        <f t="shared" si="0"/>
        <v>75000</v>
      </c>
    </row>
    <row r="10" spans="1:10" ht="26.25" customHeight="1" x14ac:dyDescent="0.3">
      <c r="A10" s="343">
        <v>6</v>
      </c>
      <c r="B10" s="345" t="s">
        <v>232</v>
      </c>
      <c r="C10" s="347">
        <v>14000</v>
      </c>
      <c r="D10" s="354">
        <v>0</v>
      </c>
      <c r="E10" s="355">
        <v>6000</v>
      </c>
      <c r="F10" s="354">
        <v>0</v>
      </c>
      <c r="G10" s="355">
        <v>50000</v>
      </c>
      <c r="H10" s="354">
        <v>5000</v>
      </c>
      <c r="I10" s="354">
        <f t="shared" si="0"/>
        <v>70000</v>
      </c>
      <c r="J10" s="354">
        <f t="shared" si="0"/>
        <v>5000</v>
      </c>
    </row>
    <row r="11" spans="1:10" ht="26.25" customHeight="1" x14ac:dyDescent="0.3">
      <c r="A11" s="343">
        <v>7</v>
      </c>
      <c r="B11" s="345" t="s">
        <v>233</v>
      </c>
      <c r="C11" s="347">
        <v>1</v>
      </c>
      <c r="D11" s="354">
        <v>0</v>
      </c>
      <c r="E11" s="355">
        <v>1</v>
      </c>
      <c r="F11" s="354">
        <v>0</v>
      </c>
      <c r="G11" s="355">
        <v>1</v>
      </c>
      <c r="H11" s="354">
        <v>0</v>
      </c>
      <c r="I11" s="354">
        <f t="shared" si="0"/>
        <v>3</v>
      </c>
      <c r="J11" s="354">
        <f t="shared" si="0"/>
        <v>0</v>
      </c>
    </row>
    <row r="12" spans="1:10" ht="26.25" customHeight="1" x14ac:dyDescent="0.3">
      <c r="A12" s="343">
        <v>8</v>
      </c>
      <c r="B12" s="345" t="s">
        <v>234</v>
      </c>
      <c r="C12" s="347">
        <v>35000</v>
      </c>
      <c r="D12" s="354">
        <v>0</v>
      </c>
      <c r="E12" s="355">
        <v>15000</v>
      </c>
      <c r="F12" s="354">
        <v>0</v>
      </c>
      <c r="G12" s="355">
        <v>600000</v>
      </c>
      <c r="H12" s="354">
        <f t="shared" si="1"/>
        <v>150000</v>
      </c>
      <c r="I12" s="354">
        <f t="shared" si="0"/>
        <v>650000</v>
      </c>
      <c r="J12" s="354">
        <f t="shared" si="0"/>
        <v>150000</v>
      </c>
    </row>
    <row r="13" spans="1:10" ht="26.25" customHeight="1" x14ac:dyDescent="0.3">
      <c r="A13" s="343">
        <v>9</v>
      </c>
      <c r="B13" s="345" t="s">
        <v>235</v>
      </c>
      <c r="C13" s="347">
        <v>1</v>
      </c>
      <c r="D13" s="354">
        <v>0</v>
      </c>
      <c r="E13" s="355">
        <v>1</v>
      </c>
      <c r="F13" s="354">
        <v>0</v>
      </c>
      <c r="G13" s="355">
        <v>10000</v>
      </c>
      <c r="H13" s="354">
        <v>0</v>
      </c>
      <c r="I13" s="354">
        <f t="shared" si="0"/>
        <v>10002</v>
      </c>
      <c r="J13" s="354">
        <f t="shared" si="0"/>
        <v>0</v>
      </c>
    </row>
    <row r="14" spans="1:10" ht="26.25" customHeight="1" x14ac:dyDescent="0.3">
      <c r="A14" s="343">
        <v>10</v>
      </c>
      <c r="B14" s="345" t="s">
        <v>236</v>
      </c>
      <c r="C14" s="347">
        <v>1</v>
      </c>
      <c r="D14" s="354">
        <v>0</v>
      </c>
      <c r="E14" s="355">
        <v>1</v>
      </c>
      <c r="F14" s="354">
        <v>0</v>
      </c>
      <c r="G14" s="355">
        <v>5000</v>
      </c>
      <c r="H14" s="354">
        <v>0</v>
      </c>
      <c r="I14" s="354">
        <f t="shared" si="0"/>
        <v>5002</v>
      </c>
      <c r="J14" s="354">
        <f t="shared" si="0"/>
        <v>0</v>
      </c>
    </row>
    <row r="15" spans="1:10" ht="26.25" customHeight="1" x14ac:dyDescent="0.3">
      <c r="A15" s="343">
        <v>11</v>
      </c>
      <c r="B15" s="345" t="s">
        <v>237</v>
      </c>
      <c r="C15" s="347">
        <v>58800</v>
      </c>
      <c r="D15" s="354">
        <v>1000</v>
      </c>
      <c r="E15" s="355">
        <v>25200</v>
      </c>
      <c r="F15" s="354">
        <v>300</v>
      </c>
      <c r="G15" s="355">
        <v>60000</v>
      </c>
      <c r="H15" s="354">
        <f t="shared" si="1"/>
        <v>15000</v>
      </c>
      <c r="I15" s="354">
        <f t="shared" si="0"/>
        <v>144000</v>
      </c>
      <c r="J15" s="354">
        <f t="shared" si="0"/>
        <v>16300</v>
      </c>
    </row>
    <row r="16" spans="1:10" ht="26.25" customHeight="1" x14ac:dyDescent="0.3">
      <c r="A16" s="343"/>
      <c r="B16" s="345" t="s">
        <v>238</v>
      </c>
      <c r="C16" s="347">
        <v>1</v>
      </c>
      <c r="D16" s="354">
        <v>0</v>
      </c>
      <c r="E16" s="355">
        <v>1</v>
      </c>
      <c r="F16" s="354">
        <v>0</v>
      </c>
      <c r="G16" s="355">
        <v>244999</v>
      </c>
      <c r="H16" s="354">
        <v>20000</v>
      </c>
      <c r="I16" s="354">
        <f t="shared" si="0"/>
        <v>245001</v>
      </c>
      <c r="J16" s="354">
        <f t="shared" si="0"/>
        <v>20000</v>
      </c>
    </row>
    <row r="17" spans="1:10" ht="26.25" customHeight="1" x14ac:dyDescent="0.3">
      <c r="A17" s="343">
        <v>12</v>
      </c>
      <c r="B17" s="345" t="s">
        <v>239</v>
      </c>
      <c r="C17" s="347">
        <v>110800</v>
      </c>
      <c r="D17" s="354">
        <v>0</v>
      </c>
      <c r="E17" s="355">
        <v>47500</v>
      </c>
      <c r="F17" s="354">
        <v>0</v>
      </c>
      <c r="G17" s="355">
        <v>80000</v>
      </c>
      <c r="H17" s="354">
        <v>0</v>
      </c>
      <c r="I17" s="354">
        <f t="shared" si="0"/>
        <v>238300</v>
      </c>
      <c r="J17" s="354">
        <f t="shared" si="0"/>
        <v>0</v>
      </c>
    </row>
    <row r="18" spans="1:10" ht="34.5" customHeight="1" x14ac:dyDescent="0.3">
      <c r="A18" s="343">
        <v>13</v>
      </c>
      <c r="B18" s="345" t="s">
        <v>240</v>
      </c>
      <c r="C18" s="356">
        <v>7000</v>
      </c>
      <c r="D18" s="354">
        <v>0</v>
      </c>
      <c r="E18" s="355">
        <v>3000</v>
      </c>
      <c r="F18" s="354">
        <v>0</v>
      </c>
      <c r="G18" s="355">
        <v>550000</v>
      </c>
      <c r="H18" s="354">
        <v>350000</v>
      </c>
      <c r="I18" s="354">
        <f t="shared" si="0"/>
        <v>560000</v>
      </c>
      <c r="J18" s="354">
        <f t="shared" si="0"/>
        <v>350000</v>
      </c>
    </row>
    <row r="19" spans="1:10" ht="26.25" customHeight="1" x14ac:dyDescent="0.3">
      <c r="A19" s="343"/>
      <c r="B19" s="343" t="s">
        <v>220</v>
      </c>
      <c r="C19" s="346">
        <f>SUM(C5:C18)</f>
        <v>756704</v>
      </c>
      <c r="D19" s="357">
        <f>SUM(D5:D18)</f>
        <v>151000</v>
      </c>
      <c r="E19" s="357">
        <f t="shared" ref="E19:H19" si="2">SUM(E5:E18)</f>
        <v>324324</v>
      </c>
      <c r="F19" s="357">
        <f t="shared" si="2"/>
        <v>50300</v>
      </c>
      <c r="G19" s="357">
        <f t="shared" si="2"/>
        <v>2190000</v>
      </c>
      <c r="H19" s="357">
        <f t="shared" si="2"/>
        <v>670000</v>
      </c>
      <c r="I19" s="354">
        <f t="shared" si="0"/>
        <v>3271028</v>
      </c>
      <c r="J19" s="354">
        <f t="shared" si="0"/>
        <v>871300</v>
      </c>
    </row>
    <row r="20" spans="1:10" ht="63" customHeight="1" x14ac:dyDescent="0.3">
      <c r="A20" s="358"/>
      <c r="B20" s="358"/>
      <c r="C20" s="358"/>
      <c r="D20" s="358"/>
      <c r="E20" s="358"/>
      <c r="F20" s="358"/>
      <c r="G20" s="358"/>
      <c r="H20" s="358"/>
    </row>
    <row r="21" spans="1:10" ht="22.5" customHeight="1" x14ac:dyDescent="0.3">
      <c r="A21" s="358"/>
      <c r="B21" s="358"/>
      <c r="C21" s="358"/>
      <c r="D21" s="358"/>
      <c r="E21" s="358"/>
      <c r="F21" s="358"/>
      <c r="G21" s="358"/>
      <c r="H21" s="358"/>
    </row>
    <row r="22" spans="1:10" ht="45" customHeight="1" x14ac:dyDescent="0.3">
      <c r="A22" s="358"/>
      <c r="B22" s="358"/>
      <c r="C22" s="358"/>
      <c r="D22" s="358"/>
      <c r="E22" s="358"/>
      <c r="F22" s="358"/>
      <c r="G22" s="358"/>
      <c r="H22" s="358"/>
    </row>
    <row r="23" spans="1:10" ht="21" x14ac:dyDescent="0.3">
      <c r="A23" s="358"/>
      <c r="B23" s="358"/>
      <c r="C23" s="358"/>
      <c r="D23" s="358"/>
      <c r="E23" s="358"/>
      <c r="F23" s="358"/>
      <c r="G23" s="358"/>
      <c r="H23" s="358"/>
    </row>
    <row r="24" spans="1:10" ht="21" x14ac:dyDescent="0.3">
      <c r="A24" s="358"/>
      <c r="B24" s="358"/>
      <c r="C24" s="358"/>
      <c r="D24" s="358"/>
      <c r="E24" s="358"/>
      <c r="F24" s="358"/>
      <c r="G24" s="358"/>
      <c r="H24" s="358"/>
    </row>
    <row r="25" spans="1:10" ht="21" x14ac:dyDescent="0.3">
      <c r="A25" s="358"/>
      <c r="B25" s="358"/>
      <c r="C25" s="358"/>
      <c r="D25" s="358"/>
      <c r="E25" s="358"/>
      <c r="F25" s="358"/>
      <c r="G25" s="358"/>
      <c r="H25" s="358"/>
    </row>
  </sheetData>
  <mergeCells count="2">
    <mergeCell ref="A1:J1"/>
    <mergeCell ref="B2:J2"/>
  </mergeCells>
  <printOptions horizontalCentered="1"/>
  <pageMargins left="0.70866141732283472" right="0.70866141732283472" top="0.55118110236220474" bottom="0.55118110236220474" header="0.31496062992125984" footer="0.31496062992125984"/>
  <pageSetup paperSize="9" scale="65" orientation="landscape" r:id="rId1"/>
  <headerFooter>
    <oddFooter>&amp;L&amp;8&amp;Z&amp;F&amp;F&amp;A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FFDB8-F185-4F7C-8B2B-4DE48C4DB043}">
  <sheetPr>
    <pageSetUpPr fitToPage="1"/>
  </sheetPr>
  <dimension ref="A1:Q35"/>
  <sheetViews>
    <sheetView workbookViewId="0">
      <selection activeCell="Q16" sqref="Q16"/>
    </sheetView>
  </sheetViews>
  <sheetFormatPr defaultColWidth="8.6640625" defaultRowHeight="17.399999999999999" x14ac:dyDescent="0.3"/>
  <cols>
    <col min="1" max="1" width="4.33203125" style="2" customWidth="1"/>
    <col min="2" max="2" width="20.5546875" style="2" customWidth="1"/>
    <col min="3" max="3" width="9.88671875" style="1" customWidth="1"/>
    <col min="4" max="4" width="9" style="1" customWidth="1"/>
    <col min="5" max="5" width="8.109375" style="1" customWidth="1"/>
    <col min="6" max="6" width="8.44140625" style="2" customWidth="1"/>
    <col min="7" max="7" width="7.5546875" style="2" customWidth="1"/>
    <col min="8" max="8" width="7.109375" style="2" customWidth="1"/>
    <col min="9" max="9" width="8.44140625" style="2" customWidth="1"/>
    <col min="10" max="10" width="7.88671875" style="2" customWidth="1"/>
    <col min="11" max="11" width="8" style="2" customWidth="1"/>
    <col min="12" max="12" width="11.44140625" style="2" customWidth="1"/>
    <col min="13" max="13" width="10.5546875" style="2" customWidth="1"/>
    <col min="14" max="14" width="8.6640625" style="2"/>
    <col min="15" max="15" width="9.44140625" style="2" bestFit="1" customWidth="1"/>
    <col min="16" max="16" width="13.44140625" style="2" customWidth="1"/>
    <col min="17" max="17" width="12.6640625" style="2" bestFit="1" customWidth="1"/>
    <col min="18" max="16384" width="8.6640625" style="2"/>
  </cols>
  <sheetData>
    <row r="1" spans="1:17" ht="31.5" customHeight="1" x14ac:dyDescent="0.3">
      <c r="A1" s="623" t="s">
        <v>525</v>
      </c>
      <c r="B1" s="623"/>
      <c r="C1" s="623"/>
      <c r="D1" s="623"/>
      <c r="E1" s="623"/>
      <c r="F1" s="623"/>
      <c r="G1" s="623"/>
      <c r="H1" s="623"/>
      <c r="I1" s="623"/>
      <c r="J1" s="623"/>
      <c r="K1" s="623"/>
    </row>
    <row r="2" spans="1:17" x14ac:dyDescent="0.3">
      <c r="A2" s="443"/>
      <c r="B2" s="624" t="s">
        <v>526</v>
      </c>
      <c r="C2" s="624"/>
      <c r="D2" s="624"/>
      <c r="E2" s="624"/>
      <c r="F2" s="624"/>
      <c r="G2" s="624"/>
      <c r="H2" s="624"/>
      <c r="I2" s="624"/>
      <c r="J2" s="624"/>
      <c r="K2" s="624"/>
    </row>
    <row r="3" spans="1:17" ht="66.75" customHeight="1" x14ac:dyDescent="0.3">
      <c r="A3" s="444" t="s">
        <v>213</v>
      </c>
      <c r="B3" s="444" t="s">
        <v>216</v>
      </c>
      <c r="C3" s="444" t="s">
        <v>527</v>
      </c>
      <c r="D3" s="444" t="s">
        <v>528</v>
      </c>
      <c r="E3" s="444" t="s">
        <v>516</v>
      </c>
      <c r="F3" s="444" t="s">
        <v>517</v>
      </c>
      <c r="G3" s="444" t="s">
        <v>528</v>
      </c>
      <c r="H3" s="444" t="s">
        <v>516</v>
      </c>
      <c r="I3" s="444" t="s">
        <v>518</v>
      </c>
      <c r="J3" s="444" t="s">
        <v>528</v>
      </c>
      <c r="K3" s="444" t="s">
        <v>516</v>
      </c>
      <c r="L3" s="444" t="s">
        <v>529</v>
      </c>
      <c r="M3" s="444" t="s">
        <v>529</v>
      </c>
      <c r="N3" s="444" t="s">
        <v>529</v>
      </c>
      <c r="O3" s="465" t="s">
        <v>530</v>
      </c>
      <c r="P3" s="1"/>
    </row>
    <row r="4" spans="1:17" x14ac:dyDescent="0.3">
      <c r="A4" s="445">
        <v>1</v>
      </c>
      <c r="B4" s="445">
        <v>2</v>
      </c>
      <c r="C4" s="445">
        <v>3</v>
      </c>
      <c r="D4" s="445">
        <v>4</v>
      </c>
      <c r="E4" s="445">
        <v>5</v>
      </c>
      <c r="F4" s="445">
        <v>6</v>
      </c>
      <c r="G4" s="445">
        <v>7</v>
      </c>
      <c r="H4" s="445">
        <v>8</v>
      </c>
      <c r="I4" s="445">
        <v>9</v>
      </c>
      <c r="J4" s="445">
        <v>10</v>
      </c>
      <c r="K4" s="445">
        <v>11</v>
      </c>
      <c r="L4" s="445">
        <v>12</v>
      </c>
      <c r="M4" s="445">
        <v>13</v>
      </c>
      <c r="N4" s="445">
        <v>14</v>
      </c>
      <c r="O4" s="466" t="s">
        <v>531</v>
      </c>
      <c r="P4" s="466" t="s">
        <v>532</v>
      </c>
    </row>
    <row r="5" spans="1:17" x14ac:dyDescent="0.3">
      <c r="A5" s="445">
        <v>1</v>
      </c>
      <c r="B5" s="457" t="s">
        <v>226</v>
      </c>
      <c r="C5" s="450">
        <v>10800</v>
      </c>
      <c r="D5" s="454">
        <v>0</v>
      </c>
      <c r="E5" s="454">
        <v>0</v>
      </c>
      <c r="F5" s="451">
        <v>4620</v>
      </c>
      <c r="G5" s="454">
        <v>0</v>
      </c>
      <c r="H5" s="454">
        <v>0</v>
      </c>
      <c r="I5" s="451">
        <v>50000</v>
      </c>
      <c r="J5" s="454"/>
      <c r="K5" s="454"/>
      <c r="L5" s="451">
        <f>D5-E5</f>
        <v>0</v>
      </c>
      <c r="M5" s="451">
        <f>G5-H5</f>
        <v>0</v>
      </c>
      <c r="N5" s="451">
        <f>J5-K5</f>
        <v>0</v>
      </c>
      <c r="O5" s="460"/>
      <c r="P5" s="460"/>
    </row>
    <row r="6" spans="1:17" ht="32.4" x14ac:dyDescent="0.3">
      <c r="A6" s="445">
        <v>2</v>
      </c>
      <c r="B6" s="457" t="s">
        <v>227</v>
      </c>
      <c r="C6" s="450">
        <v>3500</v>
      </c>
      <c r="D6" s="446">
        <v>0</v>
      </c>
      <c r="E6" s="446">
        <v>0</v>
      </c>
      <c r="F6" s="451">
        <v>1500</v>
      </c>
      <c r="G6" s="446">
        <v>0</v>
      </c>
      <c r="H6" s="446">
        <v>0</v>
      </c>
      <c r="I6" s="451">
        <v>20000</v>
      </c>
      <c r="J6" s="446">
        <v>5000</v>
      </c>
      <c r="K6" s="455"/>
      <c r="L6" s="451">
        <f t="shared" ref="L6:L19" si="0">D6-E6</f>
        <v>0</v>
      </c>
      <c r="M6" s="451">
        <f t="shared" ref="M6:M19" si="1">G6-H6</f>
        <v>0</v>
      </c>
      <c r="N6" s="451">
        <f t="shared" ref="N6:N19" si="2">J6-K6</f>
        <v>5000</v>
      </c>
      <c r="O6" s="460"/>
      <c r="P6" s="460"/>
    </row>
    <row r="7" spans="1:17" x14ac:dyDescent="0.3">
      <c r="A7" s="445">
        <v>3</v>
      </c>
      <c r="B7" s="457" t="s">
        <v>229</v>
      </c>
      <c r="C7" s="450">
        <v>495800</v>
      </c>
      <c r="D7" s="446">
        <f>150000+39664</f>
        <v>189664</v>
      </c>
      <c r="E7" s="446">
        <f>'BILLS 27 For Pay'!E139/1000</f>
        <v>160192.27705</v>
      </c>
      <c r="F7" s="451">
        <f>212500+17000</f>
        <v>229500</v>
      </c>
      <c r="G7" s="446">
        <f>50000+17000</f>
        <v>67000</v>
      </c>
      <c r="H7" s="446">
        <f>'BILLS 27 For Pay'!F139/1000</f>
        <v>51054.461000000003</v>
      </c>
      <c r="I7" s="451">
        <v>200000</v>
      </c>
      <c r="J7" s="446">
        <f>46000+4000</f>
        <v>50000</v>
      </c>
      <c r="K7" s="446">
        <f>'BILLS 27 For Pay'!G139/1000</f>
        <v>50543.968000000001</v>
      </c>
      <c r="L7" s="451">
        <f t="shared" si="0"/>
        <v>29471.722949999996</v>
      </c>
      <c r="M7" s="451">
        <f t="shared" si="1"/>
        <v>15945.538999999997</v>
      </c>
      <c r="N7" s="451">
        <f t="shared" si="2"/>
        <v>-543.96800000000076</v>
      </c>
      <c r="O7" s="460"/>
      <c r="P7" s="460"/>
    </row>
    <row r="8" spans="1:17" x14ac:dyDescent="0.3">
      <c r="A8" s="445">
        <v>4</v>
      </c>
      <c r="B8" s="457" t="s">
        <v>230</v>
      </c>
      <c r="C8" s="450">
        <v>7000</v>
      </c>
      <c r="D8" s="446">
        <v>0</v>
      </c>
      <c r="E8" s="446">
        <v>0</v>
      </c>
      <c r="F8" s="451">
        <v>3000</v>
      </c>
      <c r="G8" s="446">
        <v>0</v>
      </c>
      <c r="H8" s="446">
        <v>0</v>
      </c>
      <c r="I8" s="451">
        <v>20000</v>
      </c>
      <c r="J8" s="446"/>
      <c r="K8" s="446"/>
      <c r="L8" s="451">
        <f t="shared" si="0"/>
        <v>0</v>
      </c>
      <c r="M8" s="451">
        <f t="shared" si="1"/>
        <v>0</v>
      </c>
      <c r="N8" s="451">
        <f t="shared" si="2"/>
        <v>0</v>
      </c>
      <c r="O8" s="460"/>
      <c r="P8" s="460"/>
    </row>
    <row r="9" spans="1:17" x14ac:dyDescent="0.3">
      <c r="A9" s="445">
        <v>5</v>
      </c>
      <c r="B9" s="457" t="s">
        <v>231</v>
      </c>
      <c r="C9" s="450">
        <v>14000</v>
      </c>
      <c r="D9" s="446">
        <v>0</v>
      </c>
      <c r="E9" s="446">
        <v>0</v>
      </c>
      <c r="F9" s="451">
        <v>6000</v>
      </c>
      <c r="G9" s="446">
        <v>0</v>
      </c>
      <c r="H9" s="446">
        <v>0</v>
      </c>
      <c r="I9" s="451">
        <v>300000</v>
      </c>
      <c r="J9" s="446">
        <v>75000</v>
      </c>
      <c r="K9" s="446">
        <f>'BILLS 27 For Pay'!G141/1000</f>
        <v>21486.154999999999</v>
      </c>
      <c r="L9" s="451">
        <f t="shared" si="0"/>
        <v>0</v>
      </c>
      <c r="M9" s="451">
        <f t="shared" si="1"/>
        <v>0</v>
      </c>
      <c r="N9" s="451">
        <f t="shared" si="2"/>
        <v>53513.845000000001</v>
      </c>
      <c r="O9" s="461">
        <v>180000</v>
      </c>
      <c r="P9" s="461">
        <f>I9-O9</f>
        <v>120000</v>
      </c>
      <c r="Q9" s="464">
        <f>I9-16919.344</f>
        <v>283080.65600000002</v>
      </c>
    </row>
    <row r="10" spans="1:17" x14ac:dyDescent="0.3">
      <c r="A10" s="445">
        <v>6</v>
      </c>
      <c r="B10" s="457" t="s">
        <v>232</v>
      </c>
      <c r="C10" s="450">
        <v>14000</v>
      </c>
      <c r="D10" s="446">
        <v>0</v>
      </c>
      <c r="E10" s="446">
        <v>0</v>
      </c>
      <c r="F10" s="451">
        <v>6000</v>
      </c>
      <c r="G10" s="446">
        <v>0</v>
      </c>
      <c r="H10" s="446">
        <v>0</v>
      </c>
      <c r="I10" s="451">
        <v>50000</v>
      </c>
      <c r="J10" s="446">
        <v>5000</v>
      </c>
      <c r="K10" s="446">
        <f>'BILLS 27 For Pay'!G142/1000</f>
        <v>4779</v>
      </c>
      <c r="L10" s="451">
        <f t="shared" si="0"/>
        <v>0</v>
      </c>
      <c r="M10" s="451">
        <f t="shared" si="1"/>
        <v>0</v>
      </c>
      <c r="N10" s="451">
        <f t="shared" si="2"/>
        <v>221</v>
      </c>
      <c r="O10" s="460"/>
      <c r="P10" s="460"/>
    </row>
    <row r="11" spans="1:17" x14ac:dyDescent="0.3">
      <c r="A11" s="445">
        <v>7</v>
      </c>
      <c r="B11" s="457" t="s">
        <v>233</v>
      </c>
      <c r="C11" s="450">
        <v>1</v>
      </c>
      <c r="D11" s="446">
        <v>0</v>
      </c>
      <c r="E11" s="446">
        <v>0</v>
      </c>
      <c r="F11" s="451">
        <v>1</v>
      </c>
      <c r="G11" s="446">
        <v>0</v>
      </c>
      <c r="H11" s="446">
        <v>0</v>
      </c>
      <c r="I11" s="451">
        <v>1</v>
      </c>
      <c r="J11" s="446"/>
      <c r="K11" s="446"/>
      <c r="L11" s="451">
        <f t="shared" si="0"/>
        <v>0</v>
      </c>
      <c r="M11" s="451">
        <f t="shared" si="1"/>
        <v>0</v>
      </c>
      <c r="N11" s="451">
        <f t="shared" si="2"/>
        <v>0</v>
      </c>
      <c r="O11" s="460"/>
      <c r="P11" s="460"/>
    </row>
    <row r="12" spans="1:17" x14ac:dyDescent="0.3">
      <c r="A12" s="445">
        <v>8</v>
      </c>
      <c r="B12" s="457" t="s">
        <v>234</v>
      </c>
      <c r="C12" s="450">
        <v>35000</v>
      </c>
      <c r="D12" s="446">
        <v>0</v>
      </c>
      <c r="E12" s="446">
        <v>0</v>
      </c>
      <c r="F12" s="451">
        <v>15000</v>
      </c>
      <c r="G12" s="446">
        <v>0</v>
      </c>
      <c r="H12" s="446">
        <v>0</v>
      </c>
      <c r="I12" s="451">
        <v>600000</v>
      </c>
      <c r="J12" s="446">
        <v>150000</v>
      </c>
      <c r="K12" s="446">
        <f>'BILLS 27 For Pay'!G144/1000</f>
        <v>4701.3459999999995</v>
      </c>
      <c r="L12" s="451">
        <f t="shared" si="0"/>
        <v>0</v>
      </c>
      <c r="M12" s="451">
        <f t="shared" si="1"/>
        <v>0</v>
      </c>
      <c r="N12" s="451">
        <f t="shared" si="2"/>
        <v>145298.65400000001</v>
      </c>
      <c r="O12" s="461">
        <f>I12-J12</f>
        <v>450000</v>
      </c>
      <c r="P12" s="461">
        <f>I12-O12</f>
        <v>150000</v>
      </c>
      <c r="Q12" s="459">
        <f>I12-2500</f>
        <v>597500</v>
      </c>
    </row>
    <row r="13" spans="1:17" x14ac:dyDescent="0.3">
      <c r="A13" s="445">
        <v>9</v>
      </c>
      <c r="B13" s="457" t="s">
        <v>235</v>
      </c>
      <c r="C13" s="450">
        <v>1</v>
      </c>
      <c r="D13" s="446">
        <v>0</v>
      </c>
      <c r="E13" s="446">
        <v>0</v>
      </c>
      <c r="F13" s="451">
        <v>1</v>
      </c>
      <c r="G13" s="446">
        <v>0</v>
      </c>
      <c r="H13" s="446">
        <v>0</v>
      </c>
      <c r="I13" s="451">
        <v>10000</v>
      </c>
      <c r="J13" s="446"/>
      <c r="K13" s="446"/>
      <c r="L13" s="451">
        <f t="shared" si="0"/>
        <v>0</v>
      </c>
      <c r="M13" s="451">
        <f t="shared" si="1"/>
        <v>0</v>
      </c>
      <c r="N13" s="451">
        <f t="shared" si="2"/>
        <v>0</v>
      </c>
      <c r="O13" s="460"/>
      <c r="P13" s="460"/>
    </row>
    <row r="14" spans="1:17" x14ac:dyDescent="0.3">
      <c r="A14" s="445">
        <v>10</v>
      </c>
      <c r="B14" s="457" t="s">
        <v>236</v>
      </c>
      <c r="C14" s="450">
        <v>1</v>
      </c>
      <c r="D14" s="446">
        <v>0</v>
      </c>
      <c r="E14" s="446">
        <v>0</v>
      </c>
      <c r="F14" s="451">
        <v>1</v>
      </c>
      <c r="G14" s="446">
        <v>0</v>
      </c>
      <c r="H14" s="446">
        <v>0</v>
      </c>
      <c r="I14" s="451">
        <v>5000</v>
      </c>
      <c r="J14" s="446"/>
      <c r="K14" s="446"/>
      <c r="L14" s="451">
        <f t="shared" si="0"/>
        <v>0</v>
      </c>
      <c r="M14" s="451">
        <f t="shared" si="1"/>
        <v>0</v>
      </c>
      <c r="N14" s="451">
        <f t="shared" si="2"/>
        <v>0</v>
      </c>
      <c r="O14" s="460"/>
      <c r="P14" s="460"/>
    </row>
    <row r="15" spans="1:17" x14ac:dyDescent="0.3">
      <c r="A15" s="445">
        <v>11</v>
      </c>
      <c r="B15" s="457" t="s">
        <v>237</v>
      </c>
      <c r="C15" s="450">
        <v>58800</v>
      </c>
      <c r="D15" s="446">
        <v>1000</v>
      </c>
      <c r="E15" s="446">
        <v>0</v>
      </c>
      <c r="F15" s="451">
        <v>25200</v>
      </c>
      <c r="G15" s="446">
        <v>300</v>
      </c>
      <c r="H15" s="446">
        <v>0</v>
      </c>
      <c r="I15" s="451">
        <v>60000</v>
      </c>
      <c r="J15" s="446">
        <v>15000</v>
      </c>
      <c r="K15" s="446">
        <f>'BILLS 27 For Pay'!G147/1000</f>
        <v>500</v>
      </c>
      <c r="L15" s="451">
        <f t="shared" si="0"/>
        <v>1000</v>
      </c>
      <c r="M15" s="451">
        <f t="shared" si="1"/>
        <v>300</v>
      </c>
      <c r="N15" s="451">
        <f t="shared" si="2"/>
        <v>14500</v>
      </c>
      <c r="O15" s="460"/>
      <c r="P15" s="460"/>
    </row>
    <row r="16" spans="1:17" x14ac:dyDescent="0.3">
      <c r="A16" s="445">
        <v>12</v>
      </c>
      <c r="B16" s="457" t="s">
        <v>238</v>
      </c>
      <c r="C16" s="450">
        <v>1</v>
      </c>
      <c r="D16" s="446">
        <v>0</v>
      </c>
      <c r="E16" s="446">
        <v>0</v>
      </c>
      <c r="F16" s="451">
        <v>1</v>
      </c>
      <c r="G16" s="446">
        <v>0</v>
      </c>
      <c r="H16" s="446">
        <v>0</v>
      </c>
      <c r="I16" s="451">
        <v>244999</v>
      </c>
      <c r="J16" s="446">
        <v>20000</v>
      </c>
      <c r="K16" s="446">
        <f>'BILLS 27 For Pay'!H148/1000</f>
        <v>0</v>
      </c>
      <c r="L16" s="451">
        <f t="shared" si="0"/>
        <v>0</v>
      </c>
      <c r="M16" s="451">
        <f t="shared" si="1"/>
        <v>0</v>
      </c>
      <c r="N16" s="451">
        <f t="shared" si="2"/>
        <v>20000</v>
      </c>
      <c r="O16" s="461">
        <v>230000</v>
      </c>
      <c r="P16" s="461">
        <f>I16-O16</f>
        <v>14999</v>
      </c>
    </row>
    <row r="17" spans="1:17" x14ac:dyDescent="0.3">
      <c r="A17" s="445">
        <v>13</v>
      </c>
      <c r="B17" s="457" t="s">
        <v>239</v>
      </c>
      <c r="C17" s="450">
        <v>110800</v>
      </c>
      <c r="D17" s="446">
        <v>0</v>
      </c>
      <c r="E17" s="446">
        <v>0</v>
      </c>
      <c r="F17" s="451">
        <v>47500</v>
      </c>
      <c r="G17" s="446">
        <v>0</v>
      </c>
      <c r="H17" s="446">
        <v>0</v>
      </c>
      <c r="I17" s="451">
        <v>80000</v>
      </c>
      <c r="J17" s="446"/>
      <c r="K17" s="446"/>
      <c r="L17" s="451">
        <f t="shared" si="0"/>
        <v>0</v>
      </c>
      <c r="M17" s="451">
        <f t="shared" si="1"/>
        <v>0</v>
      </c>
      <c r="N17" s="451">
        <f t="shared" si="2"/>
        <v>0</v>
      </c>
      <c r="O17" s="460"/>
      <c r="P17" s="460"/>
    </row>
    <row r="18" spans="1:17" ht="32.4" x14ac:dyDescent="0.3">
      <c r="A18" s="445">
        <v>14</v>
      </c>
      <c r="B18" s="457" t="s">
        <v>240</v>
      </c>
      <c r="C18" s="452">
        <v>7000</v>
      </c>
      <c r="D18" s="446">
        <v>0</v>
      </c>
      <c r="E18" s="446">
        <v>0</v>
      </c>
      <c r="F18" s="451">
        <v>3000</v>
      </c>
      <c r="G18" s="446">
        <v>0</v>
      </c>
      <c r="H18" s="446">
        <v>0</v>
      </c>
      <c r="I18" s="451">
        <v>550000</v>
      </c>
      <c r="J18" s="446">
        <v>350000</v>
      </c>
      <c r="K18" s="446">
        <f>'BILLS 27 For Pay'!G150/1000</f>
        <v>349600</v>
      </c>
      <c r="L18" s="451">
        <f t="shared" si="0"/>
        <v>0</v>
      </c>
      <c r="M18" s="451">
        <f t="shared" si="1"/>
        <v>0</v>
      </c>
      <c r="N18" s="451">
        <f t="shared" si="2"/>
        <v>400</v>
      </c>
      <c r="O18" s="460"/>
      <c r="P18" s="460"/>
      <c r="Q18" s="459">
        <f>I18-K18</f>
        <v>200400</v>
      </c>
    </row>
    <row r="19" spans="1:17" x14ac:dyDescent="0.3">
      <c r="A19" s="453"/>
      <c r="B19" s="449" t="s">
        <v>220</v>
      </c>
      <c r="C19" s="456">
        <f>SUM(C5:C18)</f>
        <v>756704</v>
      </c>
      <c r="D19" s="456">
        <f t="shared" ref="D19:K19" si="3">SUM(D5:D18)</f>
        <v>190664</v>
      </c>
      <c r="E19" s="456">
        <f t="shared" si="3"/>
        <v>160192.27705</v>
      </c>
      <c r="F19" s="456">
        <f t="shared" si="3"/>
        <v>341324</v>
      </c>
      <c r="G19" s="456">
        <f t="shared" si="3"/>
        <v>67300</v>
      </c>
      <c r="H19" s="456">
        <f t="shared" si="3"/>
        <v>51054.461000000003</v>
      </c>
      <c r="I19" s="456">
        <f t="shared" si="3"/>
        <v>2190000</v>
      </c>
      <c r="J19" s="456">
        <f t="shared" si="3"/>
        <v>670000</v>
      </c>
      <c r="K19" s="456">
        <f t="shared" si="3"/>
        <v>431610.46899999998</v>
      </c>
      <c r="L19" s="451">
        <f t="shared" si="0"/>
        <v>30471.722949999996</v>
      </c>
      <c r="M19" s="451">
        <f t="shared" si="1"/>
        <v>16245.538999999997</v>
      </c>
      <c r="N19" s="451">
        <f t="shared" si="2"/>
        <v>238389.53100000002</v>
      </c>
      <c r="O19" s="462">
        <f>SUM(O5:O18)</f>
        <v>860000</v>
      </c>
      <c r="P19" s="463">
        <f>I19-O19</f>
        <v>1330000</v>
      </c>
    </row>
    <row r="21" spans="1:17" x14ac:dyDescent="0.3">
      <c r="C21" s="447"/>
      <c r="D21" s="447"/>
      <c r="E21" s="447"/>
      <c r="F21" s="448"/>
      <c r="G21" s="448"/>
      <c r="H21" s="448"/>
      <c r="I21" s="448"/>
      <c r="J21" s="448"/>
    </row>
    <row r="22" spans="1:17" x14ac:dyDescent="0.3">
      <c r="C22" s="447"/>
      <c r="D22" s="447"/>
      <c r="E22" s="447"/>
      <c r="F22" s="448"/>
      <c r="G22" s="448"/>
      <c r="H22" s="448"/>
      <c r="I22" s="448"/>
      <c r="J22" s="448"/>
    </row>
    <row r="23" spans="1:17" x14ac:dyDescent="0.3">
      <c r="C23" s="447"/>
      <c r="D23" s="447"/>
      <c r="E23" s="447"/>
      <c r="F23" s="448"/>
      <c r="G23" s="448"/>
      <c r="H23" s="448"/>
      <c r="I23" s="448"/>
      <c r="J23" s="448"/>
    </row>
    <row r="24" spans="1:17" x14ac:dyDescent="0.3">
      <c r="C24" s="447"/>
      <c r="D24" s="447"/>
      <c r="E24" s="447"/>
      <c r="F24" s="448"/>
      <c r="G24" s="448"/>
      <c r="H24" s="448"/>
      <c r="I24" s="448"/>
      <c r="J24" s="448"/>
    </row>
    <row r="25" spans="1:17" x14ac:dyDescent="0.3">
      <c r="C25" s="447"/>
      <c r="D25" s="447"/>
      <c r="E25" s="447"/>
      <c r="F25" s="448"/>
      <c r="G25" s="448"/>
      <c r="H25" s="448"/>
      <c r="I25" s="448"/>
      <c r="J25" s="448"/>
    </row>
    <row r="26" spans="1:17" x14ac:dyDescent="0.3">
      <c r="C26" s="447"/>
      <c r="D26" s="447"/>
      <c r="E26" s="447"/>
      <c r="F26" s="448"/>
      <c r="G26" s="448"/>
      <c r="H26" s="448"/>
      <c r="I26" s="448"/>
      <c r="J26" s="448"/>
    </row>
    <row r="27" spans="1:17" x14ac:dyDescent="0.3">
      <c r="C27" s="447"/>
      <c r="D27" s="447"/>
      <c r="E27" s="447"/>
      <c r="F27" s="448"/>
      <c r="G27" s="448"/>
      <c r="H27" s="448"/>
      <c r="I27" s="448"/>
      <c r="J27" s="448"/>
    </row>
    <row r="28" spans="1:17" x14ac:dyDescent="0.3">
      <c r="C28" s="447"/>
      <c r="D28" s="447"/>
      <c r="E28" s="447"/>
      <c r="F28" s="448"/>
      <c r="G28" s="448"/>
      <c r="H28" s="448"/>
      <c r="I28" s="448"/>
      <c r="J28" s="448"/>
    </row>
    <row r="29" spans="1:17" x14ac:dyDescent="0.3">
      <c r="C29" s="447"/>
      <c r="D29" s="447"/>
      <c r="E29" s="447"/>
      <c r="F29" s="448"/>
      <c r="G29" s="448"/>
      <c r="H29" s="448"/>
      <c r="I29" s="448"/>
      <c r="J29" s="448"/>
    </row>
    <row r="30" spans="1:17" x14ac:dyDescent="0.3">
      <c r="C30" s="447"/>
      <c r="D30" s="447"/>
      <c r="E30" s="447"/>
      <c r="F30" s="448"/>
      <c r="G30" s="448"/>
      <c r="H30" s="448"/>
      <c r="I30" s="448"/>
      <c r="J30" s="448"/>
    </row>
    <row r="31" spans="1:17" x14ac:dyDescent="0.3">
      <c r="C31" s="447"/>
      <c r="D31" s="447"/>
      <c r="E31" s="447"/>
      <c r="F31" s="448"/>
      <c r="G31" s="448"/>
      <c r="H31" s="448"/>
      <c r="I31" s="448"/>
      <c r="J31" s="448"/>
    </row>
    <row r="32" spans="1:17" x14ac:dyDescent="0.3">
      <c r="C32" s="447"/>
      <c r="D32" s="447"/>
      <c r="E32" s="447"/>
      <c r="F32" s="448"/>
      <c r="G32" s="448"/>
      <c r="H32" s="448"/>
      <c r="I32" s="448"/>
      <c r="J32" s="448"/>
    </row>
    <row r="33" spans="3:10" x14ac:dyDescent="0.3">
      <c r="C33" s="447"/>
      <c r="D33" s="447"/>
      <c r="E33" s="447"/>
      <c r="F33" s="448"/>
      <c r="G33" s="448"/>
      <c r="H33" s="448"/>
      <c r="I33" s="448"/>
      <c r="J33" s="448"/>
    </row>
    <row r="34" spans="3:10" x14ac:dyDescent="0.3">
      <c r="C34" s="447"/>
      <c r="D34" s="447"/>
      <c r="E34" s="447"/>
      <c r="F34" s="448"/>
      <c r="G34" s="448"/>
      <c r="H34" s="448"/>
      <c r="I34" s="448"/>
      <c r="J34" s="448"/>
    </row>
    <row r="35" spans="3:10" x14ac:dyDescent="0.3">
      <c r="C35" s="447"/>
      <c r="D35" s="447"/>
      <c r="E35" s="447"/>
      <c r="F35" s="448"/>
      <c r="G35" s="448"/>
      <c r="H35" s="448"/>
      <c r="I35" s="448"/>
      <c r="J35" s="448"/>
    </row>
  </sheetData>
  <mergeCells count="2">
    <mergeCell ref="A1:K1"/>
    <mergeCell ref="B2:K2"/>
  </mergeCells>
  <pageMargins left="0.70866141732283472" right="0.70866141732283472" top="0.74803149606299213" bottom="0.74803149606299213" header="0.31496062992125984" footer="0.31496062992125984"/>
  <pageSetup scale="8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80D46-2A76-431D-AA3E-6AB60B510933}">
  <dimension ref="A1:X78"/>
  <sheetViews>
    <sheetView view="pageBreakPreview" topLeftCell="B1" zoomScale="85" zoomScaleNormal="60" zoomScaleSheetLayoutView="85" workbookViewId="0">
      <pane ySplit="1" topLeftCell="A65" activePane="bottomLeft" state="frozen"/>
      <selection pane="bottomLeft" activeCell="G31" sqref="G31"/>
    </sheetView>
  </sheetViews>
  <sheetFormatPr defaultColWidth="8.6640625" defaultRowHeight="15" x14ac:dyDescent="0.3"/>
  <cols>
    <col min="1" max="1" width="5.5546875" style="4" customWidth="1"/>
    <col min="2" max="2" width="25.109375" style="5" customWidth="1"/>
    <col min="3" max="3" width="22.109375" style="5" customWidth="1"/>
    <col min="4" max="4" width="14.109375" style="5" customWidth="1"/>
    <col min="5" max="5" width="18.44140625" style="4" customWidth="1"/>
    <col min="6" max="6" width="13.109375" style="4" customWidth="1"/>
    <col min="7" max="7" width="16.44140625" style="4" customWidth="1"/>
    <col min="8" max="8" width="18" style="4" customWidth="1"/>
    <col min="9" max="9" width="15.6640625" style="4" customWidth="1"/>
    <col min="10" max="10" width="16" style="4" customWidth="1"/>
    <col min="11" max="11" width="110.88671875" style="5" hidden="1" customWidth="1"/>
    <col min="12" max="12" width="16.6640625" style="5" bestFit="1" customWidth="1"/>
    <col min="13" max="13" width="13.6640625" style="5" customWidth="1"/>
    <col min="14" max="14" width="15.44140625" style="5" customWidth="1"/>
    <col min="15" max="15" width="19" style="5" customWidth="1"/>
    <col min="16" max="24" width="12.109375" style="5" customWidth="1"/>
    <col min="25" max="16384" width="8.6640625" style="5"/>
  </cols>
  <sheetData>
    <row r="1" spans="1:24" ht="17.399999999999999" x14ac:dyDescent="0.3">
      <c r="A1" s="602" t="s">
        <v>533</v>
      </c>
      <c r="B1" s="602"/>
      <c r="C1" s="602"/>
      <c r="D1" s="602"/>
      <c r="E1" s="602"/>
      <c r="F1" s="602"/>
      <c r="G1" s="602"/>
      <c r="H1" s="602"/>
      <c r="I1" s="602"/>
      <c r="J1" s="602"/>
      <c r="K1" s="265"/>
      <c r="L1" s="602" t="s">
        <v>1</v>
      </c>
      <c r="M1" s="602"/>
      <c r="N1" s="602" t="s">
        <v>2</v>
      </c>
      <c r="O1" s="602"/>
      <c r="P1" s="602" t="s">
        <v>3</v>
      </c>
      <c r="Q1" s="602"/>
      <c r="R1" s="602"/>
      <c r="S1" s="602"/>
      <c r="T1" s="602"/>
      <c r="U1" s="602"/>
      <c r="V1" s="602"/>
      <c r="W1" s="602"/>
      <c r="X1" s="602"/>
    </row>
    <row r="2" spans="1:24" s="10" customFormat="1" ht="42.6" customHeight="1" x14ac:dyDescent="0.3">
      <c r="A2" s="18" t="s">
        <v>4</v>
      </c>
      <c r="B2" s="57" t="s">
        <v>5</v>
      </c>
      <c r="C2" s="58" t="s">
        <v>6</v>
      </c>
      <c r="D2" s="58" t="s">
        <v>250</v>
      </c>
      <c r="E2" s="58" t="s">
        <v>8</v>
      </c>
      <c r="F2" s="58" t="s">
        <v>534</v>
      </c>
      <c r="G2" s="58" t="s">
        <v>301</v>
      </c>
      <c r="H2" s="58" t="s">
        <v>10</v>
      </c>
      <c r="I2" s="58" t="s">
        <v>254</v>
      </c>
      <c r="J2" s="58" t="s">
        <v>13</v>
      </c>
      <c r="K2" s="58" t="s">
        <v>14</v>
      </c>
      <c r="L2" s="58" t="s">
        <v>15</v>
      </c>
      <c r="M2" s="58" t="s">
        <v>16</v>
      </c>
      <c r="N2" s="58" t="s">
        <v>15</v>
      </c>
      <c r="O2" s="58" t="s">
        <v>16</v>
      </c>
      <c r="P2" s="58" t="s">
        <v>17</v>
      </c>
      <c r="Q2" s="58" t="s">
        <v>15</v>
      </c>
      <c r="R2" s="58" t="s">
        <v>18</v>
      </c>
      <c r="S2" s="58" t="s">
        <v>19</v>
      </c>
      <c r="T2" s="58" t="s">
        <v>20</v>
      </c>
      <c r="U2" s="58" t="s">
        <v>16</v>
      </c>
      <c r="V2" s="58" t="s">
        <v>21</v>
      </c>
      <c r="W2" s="58" t="s">
        <v>22</v>
      </c>
      <c r="X2" s="58" t="s">
        <v>23</v>
      </c>
    </row>
    <row r="3" spans="1:24" ht="21" customHeight="1" x14ac:dyDescent="0.3">
      <c r="A3" s="30">
        <v>1</v>
      </c>
      <c r="B3" s="608" t="s">
        <v>381</v>
      </c>
      <c r="C3" s="312" t="s">
        <v>382</v>
      </c>
      <c r="D3" s="312" t="s">
        <v>383</v>
      </c>
      <c r="E3" s="335">
        <v>46082</v>
      </c>
      <c r="F3" s="335"/>
      <c r="G3" s="317">
        <v>1877746</v>
      </c>
      <c r="H3" s="198"/>
      <c r="I3" s="197">
        <f>341386+1453760</f>
        <v>1795146</v>
      </c>
      <c r="J3" s="198" t="s">
        <v>385</v>
      </c>
      <c r="K3" s="195" t="s">
        <v>535</v>
      </c>
      <c r="L3" s="242"/>
      <c r="M3" s="84"/>
      <c r="N3" s="84"/>
      <c r="O3" s="84"/>
      <c r="P3" s="84"/>
      <c r="Q3" s="84"/>
      <c r="R3" s="84"/>
      <c r="S3" s="84"/>
      <c r="T3" s="84"/>
      <c r="U3" s="84"/>
      <c r="V3" s="84"/>
      <c r="W3" s="84"/>
      <c r="X3" s="84"/>
    </row>
    <row r="4" spans="1:24" ht="21" customHeight="1" x14ac:dyDescent="0.3">
      <c r="A4" s="30"/>
      <c r="B4" s="610"/>
      <c r="C4" s="195" t="s">
        <v>25</v>
      </c>
      <c r="D4" s="195" t="s">
        <v>26</v>
      </c>
      <c r="E4" s="195" t="s">
        <v>27</v>
      </c>
      <c r="F4" s="195"/>
      <c r="G4" s="201">
        <v>3657952</v>
      </c>
      <c r="H4" s="273"/>
      <c r="I4" s="272"/>
      <c r="J4" s="273"/>
      <c r="K4" s="143"/>
      <c r="L4" s="274"/>
      <c r="M4" s="84"/>
      <c r="N4" s="84"/>
      <c r="O4" s="84"/>
      <c r="P4" s="84"/>
      <c r="Q4" s="84"/>
      <c r="R4" s="84"/>
      <c r="S4" s="84"/>
      <c r="T4" s="84"/>
      <c r="U4" s="84"/>
      <c r="V4" s="84"/>
      <c r="W4" s="84"/>
      <c r="X4" s="84"/>
    </row>
    <row r="5" spans="1:24" ht="28.5" customHeight="1" x14ac:dyDescent="0.3">
      <c r="A5" s="30"/>
      <c r="B5" s="188"/>
      <c r="C5" s="195" t="s">
        <v>29</v>
      </c>
      <c r="D5" s="200">
        <v>46184</v>
      </c>
      <c r="E5" s="196" t="s">
        <v>536</v>
      </c>
      <c r="F5" s="195"/>
      <c r="G5" s="201" t="s">
        <v>537</v>
      </c>
      <c r="H5" s="273"/>
      <c r="I5" s="272"/>
      <c r="J5" s="273"/>
      <c r="K5" s="143"/>
      <c r="L5" s="274"/>
      <c r="M5" s="84"/>
      <c r="N5" s="84"/>
      <c r="O5" s="84"/>
      <c r="P5" s="84"/>
      <c r="Q5" s="84"/>
      <c r="R5" s="84"/>
      <c r="S5" s="84"/>
      <c r="T5" s="84"/>
      <c r="U5" s="84"/>
      <c r="V5" s="84"/>
      <c r="W5" s="84"/>
      <c r="X5" s="84"/>
    </row>
    <row r="6" spans="1:24" ht="21" customHeight="1" x14ac:dyDescent="0.3">
      <c r="A6" s="30"/>
      <c r="B6" s="112" t="s">
        <v>222</v>
      </c>
      <c r="C6" s="143"/>
      <c r="D6" s="143"/>
      <c r="E6" s="228" t="s">
        <v>306</v>
      </c>
      <c r="F6" s="228"/>
      <c r="G6" s="146">
        <f>G3+G4</f>
        <v>5535698</v>
      </c>
      <c r="H6" s="273"/>
      <c r="I6" s="272"/>
      <c r="J6" s="273"/>
      <c r="K6" s="143"/>
      <c r="L6" s="274"/>
      <c r="M6" s="84"/>
      <c r="N6" s="84"/>
      <c r="O6" s="84"/>
      <c r="P6" s="84"/>
      <c r="Q6" s="84"/>
      <c r="R6" s="84"/>
      <c r="S6" s="84"/>
      <c r="T6" s="84"/>
      <c r="U6" s="84"/>
      <c r="V6" s="84"/>
      <c r="W6" s="84"/>
      <c r="X6" s="84"/>
    </row>
    <row r="7" spans="1:24" ht="21" customHeight="1" x14ac:dyDescent="0.3">
      <c r="A7" s="30"/>
      <c r="B7" s="112"/>
      <c r="C7" s="143"/>
      <c r="D7" s="143"/>
      <c r="E7" s="228"/>
      <c r="F7" s="228"/>
      <c r="G7" s="272"/>
      <c r="H7" s="273"/>
      <c r="I7" s="272"/>
      <c r="J7" s="273"/>
      <c r="K7" s="143"/>
      <c r="L7" s="274"/>
      <c r="M7" s="84"/>
      <c r="N7" s="84"/>
      <c r="O7" s="84"/>
      <c r="P7" s="84"/>
      <c r="Q7" s="84"/>
      <c r="R7" s="84"/>
      <c r="S7" s="84"/>
      <c r="T7" s="84"/>
      <c r="U7" s="84"/>
      <c r="V7" s="84"/>
      <c r="W7" s="84"/>
      <c r="X7" s="84"/>
    </row>
    <row r="8" spans="1:24" s="10" customFormat="1" ht="31.5" customHeight="1" x14ac:dyDescent="0.3">
      <c r="A8" s="32">
        <v>2</v>
      </c>
      <c r="B8" s="23" t="s">
        <v>409</v>
      </c>
      <c r="C8" s="23" t="s">
        <v>363</v>
      </c>
      <c r="D8" s="23"/>
      <c r="E8" s="32"/>
      <c r="F8" s="32"/>
      <c r="G8" s="71"/>
      <c r="H8" s="33"/>
      <c r="I8" s="76"/>
      <c r="J8" s="33"/>
      <c r="K8" s="34"/>
      <c r="L8" s="89"/>
      <c r="M8" s="91"/>
      <c r="N8" s="89"/>
      <c r="O8" s="89"/>
      <c r="P8" s="89"/>
      <c r="Q8" s="89"/>
      <c r="R8" s="89"/>
      <c r="S8" s="89"/>
      <c r="T8" s="89"/>
      <c r="U8" s="89"/>
      <c r="V8" s="89"/>
      <c r="W8" s="89"/>
      <c r="X8" s="89"/>
    </row>
    <row r="9" spans="1:24" ht="15" customHeight="1" x14ac:dyDescent="0.3">
      <c r="A9" s="614"/>
      <c r="B9" s="615" t="s">
        <v>538</v>
      </c>
      <c r="C9" s="195" t="s">
        <v>308</v>
      </c>
      <c r="D9" s="200">
        <v>46171</v>
      </c>
      <c r="E9" s="196">
        <v>46023</v>
      </c>
      <c r="F9" s="196" t="s">
        <v>539</v>
      </c>
      <c r="G9" s="201">
        <v>4633825</v>
      </c>
      <c r="H9" s="198"/>
      <c r="I9" s="197"/>
      <c r="J9" s="198"/>
      <c r="K9" s="603" t="s">
        <v>36</v>
      </c>
      <c r="L9" s="84"/>
      <c r="M9" s="85"/>
      <c r="N9" s="84"/>
      <c r="O9" s="84"/>
      <c r="P9" s="84"/>
      <c r="Q9" s="84"/>
      <c r="R9" s="84"/>
      <c r="S9" s="84"/>
      <c r="T9" s="84"/>
      <c r="U9" s="84"/>
      <c r="V9" s="84"/>
      <c r="W9" s="84"/>
      <c r="X9" s="84"/>
    </row>
    <row r="10" spans="1:24" ht="27.6" customHeight="1" x14ac:dyDescent="0.3">
      <c r="A10" s="614"/>
      <c r="B10" s="615"/>
      <c r="C10" s="195" t="s">
        <v>37</v>
      </c>
      <c r="D10" s="195" t="s">
        <v>38</v>
      </c>
      <c r="E10" s="196">
        <v>46054</v>
      </c>
      <c r="F10" s="196" t="s">
        <v>540</v>
      </c>
      <c r="G10" s="197">
        <v>5067348</v>
      </c>
      <c r="H10" s="198"/>
      <c r="I10" s="197"/>
      <c r="J10" s="198"/>
      <c r="K10" s="603"/>
      <c r="L10" s="240"/>
      <c r="M10" s="241"/>
      <c r="N10" s="84"/>
      <c r="O10" s="84"/>
      <c r="P10" s="84"/>
      <c r="Q10" s="84"/>
      <c r="R10" s="84"/>
      <c r="S10" s="84"/>
      <c r="T10" s="84"/>
      <c r="U10" s="84"/>
      <c r="V10" s="84"/>
      <c r="W10" s="84"/>
      <c r="X10" s="84"/>
    </row>
    <row r="11" spans="1:24" ht="21" customHeight="1" x14ac:dyDescent="0.3">
      <c r="A11" s="30"/>
      <c r="C11" s="195" t="s">
        <v>39</v>
      </c>
      <c r="D11" s="195" t="s">
        <v>38</v>
      </c>
      <c r="E11" s="196">
        <v>46082</v>
      </c>
      <c r="F11" s="196" t="s">
        <v>540</v>
      </c>
      <c r="G11" s="207">
        <v>5158115</v>
      </c>
      <c r="H11" s="285"/>
      <c r="I11" s="286"/>
      <c r="J11" s="285"/>
      <c r="K11" s="227"/>
      <c r="L11" s="240"/>
      <c r="M11" s="241"/>
      <c r="N11" s="84"/>
      <c r="O11" s="84"/>
      <c r="P11" s="84"/>
      <c r="Q11" s="84"/>
      <c r="R11" s="84"/>
      <c r="S11" s="84"/>
      <c r="T11" s="84"/>
      <c r="U11" s="84"/>
      <c r="V11" s="84"/>
      <c r="W11" s="84"/>
      <c r="X11" s="84"/>
    </row>
    <row r="12" spans="1:24" ht="21" customHeight="1" x14ac:dyDescent="0.3">
      <c r="A12" s="30"/>
      <c r="C12" s="143" t="s">
        <v>39</v>
      </c>
      <c r="D12" s="275" t="s">
        <v>38</v>
      </c>
      <c r="E12" s="228">
        <v>46113</v>
      </c>
      <c r="F12" s="228"/>
      <c r="G12" s="334"/>
      <c r="H12" s="285"/>
      <c r="I12" s="286"/>
      <c r="J12" s="285"/>
      <c r="K12" s="227"/>
      <c r="L12" s="240"/>
      <c r="M12" s="241"/>
      <c r="N12" s="84"/>
      <c r="O12" s="84"/>
      <c r="P12" s="84"/>
      <c r="Q12" s="84"/>
      <c r="R12" s="84"/>
      <c r="S12" s="84"/>
      <c r="T12" s="84"/>
      <c r="U12" s="84"/>
      <c r="V12" s="84"/>
      <c r="W12" s="84"/>
      <c r="X12" s="84"/>
    </row>
    <row r="13" spans="1:24" ht="21" customHeight="1" x14ac:dyDescent="0.3">
      <c r="A13" s="30"/>
      <c r="B13" s="112" t="s">
        <v>222</v>
      </c>
      <c r="C13" s="275"/>
      <c r="D13" s="275"/>
      <c r="E13" s="228" t="s">
        <v>315</v>
      </c>
      <c r="F13" s="228"/>
      <c r="G13" s="146">
        <f>SUM(G9:G11)</f>
        <v>14859288</v>
      </c>
      <c r="H13" s="285"/>
      <c r="I13" s="286"/>
      <c r="J13" s="285"/>
      <c r="K13" s="227"/>
      <c r="L13" s="240"/>
      <c r="M13" s="241"/>
      <c r="N13" s="84"/>
      <c r="O13" s="84"/>
      <c r="P13" s="84"/>
      <c r="Q13" s="84"/>
      <c r="R13" s="84"/>
      <c r="S13" s="84"/>
      <c r="T13" s="84"/>
      <c r="U13" s="84"/>
      <c r="V13" s="84"/>
      <c r="W13" s="84"/>
      <c r="X13" s="84"/>
    </row>
    <row r="14" spans="1:24" ht="21" customHeight="1" x14ac:dyDescent="0.3">
      <c r="A14" s="30"/>
      <c r="B14" s="173"/>
      <c r="C14" s="275"/>
      <c r="D14" s="275"/>
      <c r="E14" s="276"/>
      <c r="F14" s="276"/>
      <c r="G14" s="280"/>
      <c r="H14" s="281"/>
      <c r="I14" s="282"/>
      <c r="J14" s="281"/>
      <c r="K14" s="283"/>
      <c r="L14" s="284"/>
      <c r="M14" s="241"/>
      <c r="N14" s="84"/>
      <c r="O14" s="84"/>
      <c r="P14" s="84"/>
      <c r="Q14" s="84"/>
      <c r="R14" s="84"/>
      <c r="S14" s="84"/>
      <c r="T14" s="84"/>
      <c r="U14" s="84"/>
      <c r="V14" s="84"/>
      <c r="W14" s="84"/>
      <c r="X14" s="84"/>
    </row>
    <row r="15" spans="1:24" s="10" customFormat="1" ht="30.6" customHeight="1" x14ac:dyDescent="0.45">
      <c r="A15" s="30">
        <v>3</v>
      </c>
      <c r="B15" s="27" t="s">
        <v>421</v>
      </c>
      <c r="C15" s="311" t="s">
        <v>54</v>
      </c>
      <c r="D15" s="200">
        <v>46099</v>
      </c>
      <c r="E15" s="196" t="s">
        <v>55</v>
      </c>
      <c r="F15" s="196"/>
      <c r="G15" s="197">
        <v>2512984</v>
      </c>
      <c r="H15" s="225"/>
      <c r="I15" s="224"/>
      <c r="J15" s="225"/>
      <c r="K15" s="236" t="s">
        <v>36</v>
      </c>
      <c r="L15" s="89"/>
      <c r="M15" s="91"/>
      <c r="N15" s="89"/>
      <c r="O15" s="243"/>
      <c r="P15" s="89"/>
      <c r="Q15" s="89"/>
      <c r="R15" s="89"/>
      <c r="S15" s="89"/>
      <c r="T15" s="89"/>
      <c r="U15" s="89"/>
      <c r="V15" s="89"/>
      <c r="W15" s="89"/>
      <c r="X15" s="89"/>
    </row>
    <row r="16" spans="1:24" ht="24.9" customHeight="1" x14ac:dyDescent="0.3">
      <c r="A16" s="64"/>
      <c r="C16" s="311" t="s">
        <v>57</v>
      </c>
      <c r="D16" s="200">
        <v>46099</v>
      </c>
      <c r="E16" s="196" t="s">
        <v>58</v>
      </c>
      <c r="F16" s="196"/>
      <c r="G16" s="197">
        <v>2760750</v>
      </c>
      <c r="H16" s="278"/>
      <c r="I16" s="279"/>
      <c r="J16" s="278"/>
      <c r="K16" s="62"/>
      <c r="L16" s="84"/>
      <c r="M16" s="85"/>
      <c r="N16" s="84"/>
      <c r="O16" s="84"/>
      <c r="P16" s="84"/>
      <c r="Q16" s="84"/>
      <c r="R16" s="84"/>
      <c r="S16" s="84"/>
      <c r="T16" s="84"/>
      <c r="U16" s="84"/>
      <c r="V16" s="84"/>
      <c r="W16" s="84"/>
      <c r="X16" s="84"/>
    </row>
    <row r="17" spans="1:24" ht="24.9" customHeight="1" x14ac:dyDescent="0.3">
      <c r="A17" s="64"/>
      <c r="B17" s="62"/>
      <c r="C17" s="311" t="s">
        <v>59</v>
      </c>
      <c r="D17" s="200">
        <v>46099</v>
      </c>
      <c r="E17" s="196" t="s">
        <v>60</v>
      </c>
      <c r="F17" s="196"/>
      <c r="G17" s="197">
        <v>2681371</v>
      </c>
      <c r="H17" s="278"/>
      <c r="I17" s="279"/>
      <c r="J17" s="278"/>
      <c r="K17" s="62"/>
      <c r="L17" s="244"/>
      <c r="M17" s="245"/>
      <c r="N17" s="84"/>
      <c r="O17" s="84"/>
      <c r="P17" s="84"/>
      <c r="Q17" s="84"/>
      <c r="R17" s="84"/>
      <c r="S17" s="84"/>
      <c r="T17" s="84"/>
      <c r="U17" s="84"/>
      <c r="V17" s="84"/>
      <c r="W17" s="84"/>
      <c r="X17" s="84"/>
    </row>
    <row r="18" spans="1:24" ht="24.9" customHeight="1" x14ac:dyDescent="0.3">
      <c r="A18" s="64"/>
      <c r="B18" s="62"/>
      <c r="C18" s="315" t="s">
        <v>61</v>
      </c>
      <c r="D18" s="200">
        <v>46150</v>
      </c>
      <c r="E18" s="196">
        <v>46023</v>
      </c>
      <c r="F18" s="196"/>
      <c r="G18" s="197">
        <v>2610484</v>
      </c>
      <c r="H18" s="278"/>
      <c r="I18" s="279"/>
      <c r="J18" s="278"/>
      <c r="K18" s="62"/>
      <c r="L18" s="244"/>
      <c r="M18" s="245"/>
      <c r="N18" s="84"/>
      <c r="O18" s="84"/>
      <c r="P18" s="84"/>
      <c r="Q18" s="84"/>
      <c r="R18" s="84"/>
      <c r="S18" s="84"/>
      <c r="T18" s="84"/>
      <c r="U18" s="84"/>
      <c r="V18" s="84"/>
      <c r="W18" s="84"/>
      <c r="X18" s="84"/>
    </row>
    <row r="19" spans="1:24" ht="24.9" customHeight="1" x14ac:dyDescent="0.3">
      <c r="A19" s="64"/>
      <c r="B19" s="62"/>
      <c r="C19" s="315" t="s">
        <v>63</v>
      </c>
      <c r="D19" s="200">
        <v>46150</v>
      </c>
      <c r="E19" s="196">
        <v>46054</v>
      </c>
      <c r="F19" s="196"/>
      <c r="G19" s="197">
        <v>2475000</v>
      </c>
      <c r="H19" s="278"/>
      <c r="I19" s="279"/>
      <c r="J19" s="278"/>
      <c r="K19" s="62"/>
      <c r="L19" s="244"/>
      <c r="M19" s="245"/>
      <c r="N19" s="84"/>
      <c r="O19" s="84"/>
      <c r="P19" s="84"/>
      <c r="Q19" s="84"/>
      <c r="R19" s="84"/>
      <c r="S19" s="84"/>
      <c r="T19" s="84"/>
      <c r="U19" s="84"/>
      <c r="V19" s="84"/>
      <c r="W19" s="84"/>
      <c r="X19" s="84"/>
    </row>
    <row r="20" spans="1:24" ht="24.9" customHeight="1" x14ac:dyDescent="0.3">
      <c r="A20" s="64"/>
      <c r="B20" s="62" t="s">
        <v>222</v>
      </c>
      <c r="C20" s="62"/>
      <c r="D20" s="62"/>
      <c r="E20" s="228" t="s">
        <v>325</v>
      </c>
      <c r="F20" s="228"/>
      <c r="G20" s="73">
        <f>SUM(G15:G19)</f>
        <v>13040589</v>
      </c>
      <c r="H20" s="278"/>
      <c r="I20" s="279"/>
      <c r="J20" s="278"/>
      <c r="K20" s="62"/>
      <c r="L20" s="84"/>
      <c r="M20" s="84"/>
      <c r="N20" s="84"/>
      <c r="O20" s="84"/>
      <c r="P20" s="84"/>
      <c r="Q20" s="84"/>
      <c r="R20" s="84"/>
      <c r="S20" s="84"/>
      <c r="T20" s="84"/>
      <c r="U20" s="84"/>
      <c r="V20" s="84"/>
      <c r="W20" s="84"/>
      <c r="X20" s="84"/>
    </row>
    <row r="21" spans="1:24" ht="24.9" customHeight="1" x14ac:dyDescent="0.3">
      <c r="A21" s="64"/>
      <c r="B21" s="62"/>
      <c r="C21" s="62"/>
      <c r="D21" s="62"/>
      <c r="E21" s="228"/>
      <c r="F21" s="228"/>
      <c r="G21" s="73"/>
      <c r="H21" s="65"/>
      <c r="I21" s="73"/>
      <c r="J21" s="65"/>
      <c r="K21" s="62"/>
      <c r="L21" s="84"/>
      <c r="M21" s="85"/>
      <c r="N21" s="84"/>
      <c r="O21" s="84"/>
      <c r="P21" s="84"/>
      <c r="Q21" s="84"/>
      <c r="R21" s="84"/>
      <c r="S21" s="84"/>
      <c r="T21" s="84"/>
      <c r="U21" s="84"/>
      <c r="V21" s="84"/>
      <c r="W21" s="84"/>
      <c r="X21" s="84"/>
    </row>
    <row r="22" spans="1:24" s="10" customFormat="1" ht="21.75" customHeight="1" x14ac:dyDescent="0.3">
      <c r="A22" s="30">
        <v>4</v>
      </c>
      <c r="B22" s="626" t="s">
        <v>541</v>
      </c>
      <c r="C22" s="315" t="s">
        <v>72</v>
      </c>
      <c r="D22" s="196" t="s">
        <v>73</v>
      </c>
      <c r="E22" s="196">
        <v>46023</v>
      </c>
      <c r="F22" s="196"/>
      <c r="G22" s="197">
        <v>5782137</v>
      </c>
      <c r="H22" s="225"/>
      <c r="I22" s="226"/>
      <c r="J22" s="225"/>
      <c r="K22" s="236" t="s">
        <v>76</v>
      </c>
      <c r="L22" s="89"/>
      <c r="M22" s="91"/>
      <c r="N22" s="89"/>
      <c r="O22" s="89"/>
      <c r="P22" s="89"/>
      <c r="Q22" s="89"/>
      <c r="R22" s="89"/>
      <c r="S22" s="89"/>
      <c r="T22" s="89"/>
      <c r="U22" s="89"/>
      <c r="V22" s="89"/>
      <c r="W22" s="89"/>
      <c r="X22" s="89"/>
    </row>
    <row r="23" spans="1:24" s="10" customFormat="1" ht="21.75" customHeight="1" x14ac:dyDescent="0.3">
      <c r="A23" s="30"/>
      <c r="B23" s="626"/>
      <c r="C23" s="315" t="s">
        <v>77</v>
      </c>
      <c r="D23" s="196" t="s">
        <v>78</v>
      </c>
      <c r="E23" s="196">
        <v>46054</v>
      </c>
      <c r="F23" s="196"/>
      <c r="G23" s="197">
        <v>4757544</v>
      </c>
      <c r="H23" s="225"/>
      <c r="I23" s="226"/>
      <c r="J23" s="225"/>
      <c r="K23" s="236"/>
      <c r="L23" s="89"/>
      <c r="M23" s="91"/>
      <c r="N23" s="89"/>
      <c r="O23" s="89"/>
      <c r="P23" s="89"/>
      <c r="Q23" s="89"/>
      <c r="R23" s="89"/>
      <c r="S23" s="89"/>
      <c r="T23" s="89"/>
      <c r="U23" s="89"/>
      <c r="V23" s="89"/>
      <c r="W23" s="89"/>
      <c r="X23" s="89"/>
    </row>
    <row r="24" spans="1:24" s="10" customFormat="1" ht="21.75" customHeight="1" x14ac:dyDescent="0.3">
      <c r="A24" s="30"/>
      <c r="B24" s="626"/>
      <c r="C24" s="315" t="s">
        <v>79</v>
      </c>
      <c r="D24" s="196" t="s">
        <v>80</v>
      </c>
      <c r="E24" s="196">
        <v>46082</v>
      </c>
      <c r="F24" s="196"/>
      <c r="G24" s="197">
        <v>3537097</v>
      </c>
      <c r="H24" s="225"/>
      <c r="I24" s="279"/>
      <c r="J24" s="225"/>
      <c r="K24" s="236"/>
      <c r="L24" s="89"/>
      <c r="M24" s="91"/>
      <c r="N24" s="89"/>
      <c r="O24" s="89"/>
      <c r="P24" s="89"/>
      <c r="Q24" s="89"/>
      <c r="R24" s="89"/>
      <c r="S24" s="89"/>
      <c r="T24" s="89"/>
      <c r="U24" s="89"/>
      <c r="V24" s="89"/>
      <c r="W24" s="89"/>
      <c r="X24" s="89"/>
    </row>
    <row r="25" spans="1:24" ht="21.75" customHeight="1" x14ac:dyDescent="0.3">
      <c r="A25" s="64"/>
      <c r="B25" s="62" t="s">
        <v>222</v>
      </c>
      <c r="C25" s="302"/>
      <c r="D25" s="62"/>
      <c r="E25" s="228" t="s">
        <v>334</v>
      </c>
      <c r="F25" s="228"/>
      <c r="G25" s="73">
        <f>SUM(G22:G24)</f>
        <v>14076778</v>
      </c>
      <c r="H25" s="60"/>
      <c r="I25" s="73"/>
      <c r="J25" s="60"/>
      <c r="K25" s="62"/>
      <c r="L25" s="245"/>
      <c r="M25" s="85"/>
      <c r="N25" s="84"/>
      <c r="O25" s="84"/>
      <c r="P25" s="84"/>
      <c r="Q25" s="84"/>
      <c r="R25" s="84"/>
      <c r="S25" s="84"/>
      <c r="T25" s="84"/>
      <c r="U25" s="84"/>
      <c r="V25" s="84"/>
      <c r="W25" s="84"/>
      <c r="X25" s="84"/>
    </row>
    <row r="26" spans="1:24" s="10" customFormat="1" ht="21.75" customHeight="1" x14ac:dyDescent="0.3">
      <c r="A26" s="30">
        <v>5</v>
      </c>
      <c r="B26" s="614" t="s">
        <v>542</v>
      </c>
      <c r="C26" s="315" t="s">
        <v>93</v>
      </c>
      <c r="D26" s="196" t="s">
        <v>94</v>
      </c>
      <c r="E26" s="196">
        <v>46023</v>
      </c>
      <c r="F26" s="196"/>
      <c r="G26" s="197">
        <v>1405176</v>
      </c>
      <c r="H26" s="277" t="s">
        <v>384</v>
      </c>
      <c r="I26" s="233">
        <v>482279</v>
      </c>
      <c r="J26" s="277" t="s">
        <v>444</v>
      </c>
      <c r="K26" s="235" t="s">
        <v>36</v>
      </c>
      <c r="L26" s="245"/>
      <c r="M26" s="91"/>
      <c r="N26" s="89"/>
      <c r="O26" s="89"/>
      <c r="P26" s="89"/>
      <c r="Q26" s="89"/>
      <c r="R26" s="89"/>
      <c r="S26" s="89"/>
      <c r="T26" s="89"/>
      <c r="U26" s="89"/>
      <c r="V26" s="89"/>
      <c r="W26" s="89"/>
      <c r="X26" s="89"/>
    </row>
    <row r="27" spans="1:24" s="10" customFormat="1" ht="21.75" customHeight="1" x14ac:dyDescent="0.3">
      <c r="A27" s="30"/>
      <c r="B27" s="614"/>
      <c r="C27" s="315" t="s">
        <v>95</v>
      </c>
      <c r="D27" s="196" t="s">
        <v>96</v>
      </c>
      <c r="E27" s="196">
        <v>46054</v>
      </c>
      <c r="F27" s="196"/>
      <c r="G27" s="197">
        <v>1602686</v>
      </c>
      <c r="H27" s="277"/>
      <c r="I27" s="233"/>
      <c r="J27" s="277"/>
      <c r="K27" s="235"/>
      <c r="L27" s="245"/>
      <c r="M27" s="91"/>
      <c r="N27" s="89"/>
      <c r="O27" s="89"/>
      <c r="P27" s="89"/>
      <c r="Q27" s="89"/>
      <c r="R27" s="89"/>
      <c r="S27" s="89"/>
      <c r="T27" s="89"/>
      <c r="U27" s="89"/>
      <c r="V27" s="89"/>
      <c r="W27" s="89"/>
      <c r="X27" s="89"/>
    </row>
    <row r="28" spans="1:24" s="10" customFormat="1" ht="21.75" customHeight="1" x14ac:dyDescent="0.3">
      <c r="A28" s="30"/>
      <c r="B28" s="614"/>
      <c r="C28" s="315" t="s">
        <v>95</v>
      </c>
      <c r="D28" s="196" t="s">
        <v>96</v>
      </c>
      <c r="E28" s="196">
        <v>46082</v>
      </c>
      <c r="F28" s="196"/>
      <c r="G28" s="197">
        <v>1552946</v>
      </c>
      <c r="H28" s="277"/>
      <c r="I28" s="233"/>
      <c r="J28" s="277"/>
      <c r="K28" s="235"/>
      <c r="L28" s="245"/>
      <c r="M28" s="91"/>
      <c r="N28" s="89"/>
      <c r="O28" s="89"/>
      <c r="P28" s="89"/>
      <c r="Q28" s="89"/>
      <c r="R28" s="89"/>
      <c r="S28" s="89"/>
      <c r="T28" s="89"/>
      <c r="U28" s="89"/>
      <c r="V28" s="89"/>
      <c r="W28" s="89"/>
      <c r="X28" s="89"/>
    </row>
    <row r="29" spans="1:24" s="10" customFormat="1" ht="21.75" customHeight="1" x14ac:dyDescent="0.3">
      <c r="A29" s="30"/>
      <c r="B29" s="30"/>
      <c r="C29" s="315" t="s">
        <v>95</v>
      </c>
      <c r="D29" s="196" t="s">
        <v>96</v>
      </c>
      <c r="E29" s="196">
        <v>46113</v>
      </c>
      <c r="F29" s="196"/>
      <c r="G29" s="197">
        <v>1625749</v>
      </c>
      <c r="H29" s="277"/>
      <c r="I29" s="233"/>
      <c r="J29" s="277"/>
      <c r="K29" s="235"/>
      <c r="L29" s="245"/>
      <c r="M29" s="91"/>
      <c r="N29" s="89"/>
      <c r="O29" s="89"/>
      <c r="P29" s="89"/>
      <c r="Q29" s="89"/>
      <c r="R29" s="89"/>
      <c r="S29" s="89"/>
      <c r="T29" s="89"/>
      <c r="U29" s="89"/>
      <c r="V29" s="89"/>
      <c r="W29" s="89"/>
      <c r="X29" s="89"/>
    </row>
    <row r="30" spans="1:24" ht="21.75" customHeight="1" x14ac:dyDescent="0.3">
      <c r="A30" s="64"/>
      <c r="B30" s="62" t="s">
        <v>222</v>
      </c>
      <c r="C30" s="62"/>
      <c r="D30" s="62"/>
      <c r="E30" s="228" t="s">
        <v>347</v>
      </c>
      <c r="F30" s="228"/>
      <c r="G30" s="73">
        <f>SUM(G26:G29)</f>
        <v>6186557</v>
      </c>
      <c r="H30" s="60"/>
      <c r="I30" s="73"/>
      <c r="J30" s="60"/>
      <c r="K30" s="62"/>
      <c r="L30" s="84"/>
      <c r="M30" s="85"/>
      <c r="N30" s="257"/>
      <c r="O30" s="257"/>
      <c r="P30" s="256"/>
      <c r="Q30" s="84"/>
      <c r="R30" s="84"/>
      <c r="S30" s="84"/>
      <c r="T30" s="84"/>
      <c r="U30" s="84"/>
      <c r="V30" s="84"/>
      <c r="W30" s="84"/>
      <c r="X30" s="84"/>
    </row>
    <row r="31" spans="1:24" s="17" customFormat="1" ht="20.25" customHeight="1" x14ac:dyDescent="0.3">
      <c r="A31" s="614">
        <v>6</v>
      </c>
      <c r="B31" s="615" t="s">
        <v>453</v>
      </c>
      <c r="C31" s="191" t="s">
        <v>105</v>
      </c>
      <c r="D31" s="191">
        <v>46055</v>
      </c>
      <c r="E31" s="231">
        <v>45839</v>
      </c>
      <c r="F31" s="231"/>
      <c r="G31" s="232">
        <v>840952.71</v>
      </c>
      <c r="H31" s="192" t="s">
        <v>384</v>
      </c>
      <c r="I31" s="232">
        <v>840952.71</v>
      </c>
      <c r="J31" s="192" t="s">
        <v>106</v>
      </c>
      <c r="K31" s="186"/>
      <c r="L31" s="271">
        <v>840952.71</v>
      </c>
      <c r="M31" s="90"/>
      <c r="N31" s="257"/>
      <c r="O31" s="257"/>
      <c r="P31" s="258"/>
      <c r="Q31" s="90"/>
      <c r="R31" s="90"/>
      <c r="S31" s="90"/>
      <c r="T31" s="90"/>
      <c r="U31" s="90"/>
      <c r="V31" s="90"/>
      <c r="W31" s="90"/>
      <c r="X31" s="90"/>
    </row>
    <row r="32" spans="1:24" s="10" customFormat="1" ht="20.25" customHeight="1" x14ac:dyDescent="0.3">
      <c r="A32" s="614"/>
      <c r="B32" s="615"/>
      <c r="C32" s="191" t="s">
        <v>107</v>
      </c>
      <c r="D32" s="191">
        <v>46055</v>
      </c>
      <c r="E32" s="231">
        <v>45870</v>
      </c>
      <c r="F32" s="231"/>
      <c r="G32" s="232">
        <v>2215560.39</v>
      </c>
      <c r="H32" s="192" t="s">
        <v>384</v>
      </c>
      <c r="I32" s="232">
        <v>2215560.39</v>
      </c>
      <c r="J32" s="192" t="s">
        <v>106</v>
      </c>
      <c r="K32" s="186" t="s">
        <v>121</v>
      </c>
      <c r="L32" s="271">
        <v>2215560.39</v>
      </c>
      <c r="M32" s="91"/>
      <c r="N32" s="257"/>
      <c r="O32" s="257"/>
      <c r="P32" s="259"/>
      <c r="Q32" s="89"/>
      <c r="R32" s="89"/>
      <c r="S32" s="89"/>
      <c r="T32" s="89"/>
      <c r="U32" s="89"/>
      <c r="V32" s="89"/>
      <c r="W32" s="89"/>
      <c r="X32" s="89"/>
    </row>
    <row r="33" spans="1:24" s="11" customFormat="1" ht="20.25" customHeight="1" x14ac:dyDescent="0.3">
      <c r="A33" s="614"/>
      <c r="B33" s="615"/>
      <c r="C33" s="191" t="s">
        <v>108</v>
      </c>
      <c r="D33" s="191">
        <v>46055</v>
      </c>
      <c r="E33" s="191" t="s">
        <v>109</v>
      </c>
      <c r="F33" s="191"/>
      <c r="G33" s="232">
        <v>4084336.95</v>
      </c>
      <c r="H33" s="192" t="s">
        <v>384</v>
      </c>
      <c r="I33" s="232">
        <v>4084336.95</v>
      </c>
      <c r="J33" s="192" t="s">
        <v>106</v>
      </c>
      <c r="K33" s="186"/>
      <c r="L33" s="271">
        <v>4084336.95</v>
      </c>
      <c r="M33" s="91"/>
      <c r="N33" s="257"/>
      <c r="O33" s="257"/>
      <c r="P33" s="260"/>
      <c r="Q33" s="91"/>
      <c r="R33" s="91"/>
      <c r="S33" s="91"/>
      <c r="T33" s="91"/>
      <c r="U33" s="91"/>
      <c r="V33" s="91"/>
      <c r="W33" s="91"/>
      <c r="X33" s="91"/>
    </row>
    <row r="34" spans="1:24" s="11" customFormat="1" ht="20.25" customHeight="1" x14ac:dyDescent="0.3">
      <c r="A34" s="30"/>
      <c r="B34" s="21"/>
      <c r="C34" s="191" t="s">
        <v>110</v>
      </c>
      <c r="D34" s="191">
        <v>46070</v>
      </c>
      <c r="E34" s="191" t="s">
        <v>55</v>
      </c>
      <c r="F34" s="191"/>
      <c r="G34" s="191">
        <v>5703517</v>
      </c>
      <c r="H34" s="192" t="s">
        <v>384</v>
      </c>
      <c r="I34" s="191">
        <v>5703517</v>
      </c>
      <c r="J34" s="192" t="s">
        <v>106</v>
      </c>
      <c r="K34" s="186"/>
      <c r="L34" s="143">
        <v>5703517</v>
      </c>
      <c r="M34" s="91"/>
      <c r="N34" s="257"/>
      <c r="O34" s="257"/>
      <c r="P34" s="260"/>
      <c r="Q34" s="91"/>
      <c r="R34" s="91"/>
      <c r="S34" s="91"/>
      <c r="T34" s="91"/>
      <c r="U34" s="91"/>
      <c r="V34" s="91"/>
      <c r="W34" s="91"/>
      <c r="X34" s="91"/>
    </row>
    <row r="35" spans="1:24" s="11" customFormat="1" ht="20.25" customHeight="1" x14ac:dyDescent="0.3">
      <c r="A35" s="30"/>
      <c r="B35" s="21"/>
      <c r="C35" s="191" t="s">
        <v>111</v>
      </c>
      <c r="D35" s="191">
        <v>46070</v>
      </c>
      <c r="E35" s="191" t="s">
        <v>58</v>
      </c>
      <c r="F35" s="191"/>
      <c r="G35" s="191">
        <v>5685511</v>
      </c>
      <c r="H35" s="192" t="s">
        <v>384</v>
      </c>
      <c r="I35" s="191">
        <v>5668850</v>
      </c>
      <c r="J35" s="192" t="s">
        <v>106</v>
      </c>
      <c r="K35" s="186"/>
      <c r="L35" s="143">
        <v>5668850</v>
      </c>
      <c r="M35" s="91"/>
      <c r="N35" s="257"/>
      <c r="O35" s="257"/>
      <c r="P35" s="260"/>
      <c r="Q35" s="91"/>
      <c r="R35" s="91"/>
      <c r="S35" s="91"/>
      <c r="T35" s="91"/>
      <c r="U35" s="91"/>
      <c r="V35" s="91"/>
      <c r="W35" s="91"/>
      <c r="X35" s="91"/>
    </row>
    <row r="36" spans="1:24" s="11" customFormat="1" ht="20.25" customHeight="1" x14ac:dyDescent="0.3">
      <c r="A36" s="30"/>
      <c r="B36" s="21"/>
      <c r="C36" s="191" t="s">
        <v>112</v>
      </c>
      <c r="D36" s="191">
        <v>46070</v>
      </c>
      <c r="E36" s="191" t="s">
        <v>60</v>
      </c>
      <c r="F36" s="191"/>
      <c r="G36" s="191">
        <v>5687393</v>
      </c>
      <c r="H36" s="192" t="s">
        <v>384</v>
      </c>
      <c r="I36" s="191">
        <v>5687393</v>
      </c>
      <c r="J36" s="192" t="s">
        <v>106</v>
      </c>
      <c r="K36" s="186"/>
      <c r="L36" s="143">
        <v>5687393</v>
      </c>
      <c r="M36" s="91"/>
      <c r="N36" s="257"/>
      <c r="O36" s="257"/>
      <c r="P36" s="260"/>
      <c r="Q36" s="91"/>
      <c r="R36" s="91"/>
      <c r="S36" s="91"/>
      <c r="T36" s="91"/>
      <c r="U36" s="91"/>
      <c r="V36" s="91"/>
      <c r="W36" s="91"/>
      <c r="X36" s="91"/>
    </row>
    <row r="37" spans="1:24" s="11" customFormat="1" ht="20.25" customHeight="1" x14ac:dyDescent="0.3">
      <c r="A37" s="30"/>
      <c r="B37" s="21"/>
      <c r="C37" s="191" t="s">
        <v>113</v>
      </c>
      <c r="D37" s="191">
        <v>46070</v>
      </c>
      <c r="E37" s="191" t="s">
        <v>114</v>
      </c>
      <c r="F37" s="191"/>
      <c r="G37" s="191">
        <v>5711580</v>
      </c>
      <c r="H37" s="192" t="s">
        <v>384</v>
      </c>
      <c r="I37" s="191">
        <v>5711580</v>
      </c>
      <c r="J37" s="192" t="s">
        <v>106</v>
      </c>
      <c r="K37" s="186"/>
      <c r="L37" s="143">
        <v>5711580</v>
      </c>
      <c r="M37" s="91"/>
      <c r="N37" s="261"/>
      <c r="O37" s="261"/>
      <c r="P37" s="260"/>
      <c r="Q37" s="91"/>
      <c r="R37" s="91"/>
      <c r="S37" s="91"/>
      <c r="T37" s="91"/>
      <c r="U37" s="91"/>
      <c r="V37" s="91"/>
      <c r="W37" s="91"/>
      <c r="X37" s="91"/>
    </row>
    <row r="38" spans="1:24" ht="20.25" customHeight="1" x14ac:dyDescent="0.3">
      <c r="A38" s="64"/>
      <c r="B38" s="62"/>
      <c r="C38" s="191"/>
      <c r="D38" s="191"/>
      <c r="E38" s="193" t="s">
        <v>455</v>
      </c>
      <c r="F38" s="193"/>
      <c r="G38" s="194">
        <f>SUM(G31:G37)</f>
        <v>29928851.050000001</v>
      </c>
      <c r="H38" s="193"/>
      <c r="I38" s="194">
        <f>SUM(I31:I37)</f>
        <v>29912190.050000001</v>
      </c>
      <c r="J38" s="193"/>
      <c r="K38" s="148"/>
      <c r="L38" s="84"/>
      <c r="M38" s="85"/>
      <c r="N38" s="257"/>
      <c r="O38" s="256"/>
      <c r="P38" s="256"/>
      <c r="Q38" s="84"/>
      <c r="R38" s="84"/>
      <c r="S38" s="84"/>
      <c r="T38" s="84"/>
      <c r="U38" s="84"/>
      <c r="V38" s="84"/>
      <c r="W38" s="84"/>
      <c r="X38" s="84"/>
    </row>
    <row r="39" spans="1:24" ht="20.25" customHeight="1" x14ac:dyDescent="0.3">
      <c r="A39" s="64"/>
      <c r="B39" s="63" t="s">
        <v>2</v>
      </c>
      <c r="C39" s="301" t="s">
        <v>115</v>
      </c>
      <c r="D39" s="223" t="s">
        <v>116</v>
      </c>
      <c r="E39" s="223" t="s">
        <v>117</v>
      </c>
      <c r="F39" s="223"/>
      <c r="G39" s="224">
        <v>5734901</v>
      </c>
      <c r="H39" s="225" t="s">
        <v>543</v>
      </c>
      <c r="I39" s="239">
        <v>5734901</v>
      </c>
      <c r="J39" s="225" t="s">
        <v>544</v>
      </c>
      <c r="K39" s="148"/>
      <c r="L39" s="84"/>
      <c r="M39" s="85"/>
      <c r="N39" s="257"/>
      <c r="O39" s="256"/>
      <c r="P39" s="256"/>
      <c r="Q39" s="84"/>
      <c r="R39" s="84"/>
      <c r="S39" s="84"/>
      <c r="T39" s="84"/>
      <c r="U39" s="84"/>
      <c r="V39" s="84"/>
      <c r="W39" s="84"/>
      <c r="X39" s="84"/>
    </row>
    <row r="40" spans="1:24" ht="20.25" customHeight="1" x14ac:dyDescent="0.3">
      <c r="A40" s="64"/>
      <c r="B40" s="62"/>
      <c r="C40" s="301" t="s">
        <v>118</v>
      </c>
      <c r="D40" s="223" t="s">
        <v>119</v>
      </c>
      <c r="E40" s="223" t="s">
        <v>120</v>
      </c>
      <c r="F40" s="223"/>
      <c r="G40" s="224">
        <v>5727703</v>
      </c>
      <c r="H40" s="225" t="s">
        <v>543</v>
      </c>
      <c r="I40" s="239">
        <v>5727703</v>
      </c>
      <c r="J40" s="225" t="s">
        <v>198</v>
      </c>
      <c r="K40" s="148"/>
      <c r="L40" s="84"/>
      <c r="M40" s="85"/>
      <c r="N40" s="256"/>
      <c r="O40" s="256"/>
      <c r="P40" s="256"/>
      <c r="Q40" s="84"/>
      <c r="R40" s="84"/>
      <c r="S40" s="84"/>
      <c r="T40" s="84"/>
      <c r="U40" s="84"/>
      <c r="V40" s="84"/>
      <c r="W40" s="84"/>
      <c r="X40" s="84"/>
    </row>
    <row r="41" spans="1:24" ht="20.25" customHeight="1" x14ac:dyDescent="0.3">
      <c r="A41" s="64"/>
      <c r="B41" s="62"/>
      <c r="C41" s="301" t="s">
        <v>122</v>
      </c>
      <c r="D41" s="223" t="s">
        <v>123</v>
      </c>
      <c r="E41" s="301" t="s">
        <v>124</v>
      </c>
      <c r="F41" s="301"/>
      <c r="G41" s="224">
        <v>11028148</v>
      </c>
      <c r="H41" s="225" t="s">
        <v>543</v>
      </c>
      <c r="I41" s="239">
        <v>11028148</v>
      </c>
      <c r="J41" s="225" t="s">
        <v>198</v>
      </c>
      <c r="K41" s="148"/>
      <c r="L41" s="84"/>
      <c r="M41" s="85"/>
      <c r="N41" s="263"/>
      <c r="O41" s="263"/>
      <c r="P41" s="256"/>
      <c r="Q41" s="84"/>
      <c r="R41" s="84"/>
      <c r="S41" s="84"/>
      <c r="T41" s="84"/>
      <c r="U41" s="84"/>
      <c r="V41" s="84"/>
      <c r="W41" s="84"/>
      <c r="X41" s="84"/>
    </row>
    <row r="42" spans="1:24" ht="20.25" customHeight="1" x14ac:dyDescent="0.3">
      <c r="A42" s="64"/>
      <c r="B42" s="62"/>
      <c r="C42" s="301" t="s">
        <v>126</v>
      </c>
      <c r="D42" s="223" t="s">
        <v>123</v>
      </c>
      <c r="E42" s="301" t="s">
        <v>127</v>
      </c>
      <c r="F42" s="301"/>
      <c r="G42" s="224">
        <v>4595062</v>
      </c>
      <c r="H42" s="225"/>
      <c r="I42" s="239"/>
      <c r="J42" s="225"/>
      <c r="K42" s="148"/>
      <c r="L42" s="84"/>
      <c r="M42" s="85"/>
      <c r="N42" s="263"/>
      <c r="O42" s="263"/>
      <c r="P42" s="256"/>
      <c r="Q42" s="84"/>
      <c r="R42" s="84"/>
      <c r="S42" s="84"/>
      <c r="T42" s="84"/>
      <c r="U42" s="84"/>
      <c r="V42" s="84"/>
      <c r="W42" s="84"/>
      <c r="X42" s="84"/>
    </row>
    <row r="43" spans="1:24" ht="20.25" customHeight="1" x14ac:dyDescent="0.3">
      <c r="A43" s="64"/>
      <c r="B43" s="62"/>
      <c r="C43" s="332" t="s">
        <v>129</v>
      </c>
      <c r="D43" s="143" t="s">
        <v>130</v>
      </c>
      <c r="E43" s="332" t="s">
        <v>545</v>
      </c>
      <c r="F43" s="332" t="s">
        <v>546</v>
      </c>
      <c r="G43" s="149"/>
      <c r="H43" s="148" t="s">
        <v>546</v>
      </c>
      <c r="I43" s="333">
        <v>3676049</v>
      </c>
      <c r="J43" s="148"/>
      <c r="K43" s="148"/>
      <c r="L43" s="84"/>
      <c r="M43" s="85"/>
      <c r="N43" s="263"/>
      <c r="O43" s="263"/>
      <c r="P43" s="256"/>
      <c r="Q43" s="84"/>
      <c r="R43" s="84"/>
      <c r="S43" s="84"/>
      <c r="T43" s="84"/>
      <c r="U43" s="84"/>
      <c r="V43" s="84"/>
      <c r="W43" s="84"/>
      <c r="X43" s="84"/>
    </row>
    <row r="44" spans="1:24" s="15" customFormat="1" ht="20.25" customHeight="1" x14ac:dyDescent="0.3">
      <c r="A44" s="32">
        <v>7</v>
      </c>
      <c r="B44" s="23" t="s">
        <v>456</v>
      </c>
      <c r="C44" s="23" t="s">
        <v>363</v>
      </c>
      <c r="D44" s="23"/>
      <c r="E44" s="53" t="s">
        <v>547</v>
      </c>
      <c r="F44" s="53"/>
      <c r="G44" s="76"/>
      <c r="H44" s="33"/>
      <c r="I44" s="76"/>
      <c r="J44" s="33"/>
      <c r="K44" s="23"/>
      <c r="L44" s="92"/>
      <c r="M44" s="247"/>
      <c r="N44" s="263"/>
      <c r="O44" s="263"/>
      <c r="P44" s="246"/>
      <c r="Q44" s="92"/>
      <c r="R44" s="92"/>
      <c r="S44" s="92"/>
      <c r="T44" s="92"/>
      <c r="U44" s="92"/>
      <c r="V44" s="92"/>
      <c r="W44" s="92"/>
      <c r="X44" s="92"/>
    </row>
    <row r="45" spans="1:24" s="10" customFormat="1" ht="20.25" customHeight="1" x14ac:dyDescent="0.3">
      <c r="A45" s="614"/>
      <c r="B45" s="615" t="s">
        <v>457</v>
      </c>
      <c r="C45" s="209" t="s">
        <v>168</v>
      </c>
      <c r="D45" s="210">
        <v>45937</v>
      </c>
      <c r="E45" s="287">
        <f>G45-I45</f>
        <v>962891.60000000009</v>
      </c>
      <c r="F45" s="287"/>
      <c r="G45" s="211">
        <v>1925783.6</v>
      </c>
      <c r="H45" s="198" t="s">
        <v>384</v>
      </c>
      <c r="I45" s="211">
        <v>962892</v>
      </c>
      <c r="J45" s="212" t="s">
        <v>116</v>
      </c>
      <c r="K45" s="594" t="s">
        <v>169</v>
      </c>
      <c r="L45" s="242"/>
      <c r="M45" s="248"/>
      <c r="N45" s="263"/>
      <c r="O45" s="263"/>
      <c r="P45" s="259"/>
      <c r="Q45" s="89"/>
      <c r="R45" s="89"/>
      <c r="S45" s="89"/>
      <c r="T45" s="89"/>
      <c r="U45" s="89"/>
      <c r="V45" s="89"/>
      <c r="W45" s="89"/>
      <c r="X45" s="89"/>
    </row>
    <row r="46" spans="1:24" s="10" customFormat="1" ht="20.25" customHeight="1" x14ac:dyDescent="0.3">
      <c r="A46" s="614"/>
      <c r="B46" s="615"/>
      <c r="C46" s="209" t="s">
        <v>170</v>
      </c>
      <c r="D46" s="210">
        <v>45937</v>
      </c>
      <c r="E46" s="287">
        <f t="shared" ref="E46:E48" si="0">G46-I46</f>
        <v>268714.36</v>
      </c>
      <c r="F46" s="287"/>
      <c r="G46" s="211">
        <v>358285.36</v>
      </c>
      <c r="H46" s="198" t="s">
        <v>384</v>
      </c>
      <c r="I46" s="211">
        <v>89571</v>
      </c>
      <c r="J46" s="212" t="s">
        <v>116</v>
      </c>
      <c r="K46" s="594"/>
      <c r="L46" s="242"/>
      <c r="M46" s="248"/>
      <c r="N46" s="262"/>
      <c r="O46" s="262"/>
      <c r="P46" s="259"/>
      <c r="Q46" s="89"/>
      <c r="R46" s="89"/>
      <c r="S46" s="89"/>
      <c r="T46" s="89"/>
      <c r="U46" s="89"/>
      <c r="V46" s="89"/>
      <c r="W46" s="89"/>
      <c r="X46" s="89"/>
    </row>
    <row r="47" spans="1:24" s="10" customFormat="1" ht="20.25" customHeight="1" x14ac:dyDescent="0.3">
      <c r="A47" s="614"/>
      <c r="B47" s="615"/>
      <c r="C47" s="209" t="s">
        <v>171</v>
      </c>
      <c r="D47" s="210">
        <v>45937</v>
      </c>
      <c r="E47" s="287">
        <f t="shared" si="0"/>
        <v>268713.36</v>
      </c>
      <c r="F47" s="287"/>
      <c r="G47" s="211">
        <v>358285.36</v>
      </c>
      <c r="H47" s="198" t="s">
        <v>384</v>
      </c>
      <c r="I47" s="211">
        <v>89572</v>
      </c>
      <c r="J47" s="212" t="s">
        <v>116</v>
      </c>
      <c r="K47" s="594"/>
      <c r="L47" s="242"/>
      <c r="M47" s="248"/>
      <c r="N47" s="259"/>
      <c r="O47" s="259"/>
      <c r="P47" s="259"/>
      <c r="Q47" s="89"/>
      <c r="R47" s="89"/>
      <c r="S47" s="89"/>
      <c r="T47" s="89"/>
      <c r="U47" s="89"/>
      <c r="V47" s="89"/>
      <c r="W47" s="89"/>
      <c r="X47" s="89"/>
    </row>
    <row r="48" spans="1:24" s="10" customFormat="1" ht="20.25" customHeight="1" x14ac:dyDescent="0.3">
      <c r="A48" s="614"/>
      <c r="B48" s="615"/>
      <c r="C48" s="209" t="s">
        <v>172</v>
      </c>
      <c r="D48" s="210">
        <v>45937</v>
      </c>
      <c r="E48" s="287">
        <f t="shared" si="0"/>
        <v>268713.36</v>
      </c>
      <c r="F48" s="287"/>
      <c r="G48" s="211">
        <v>358285.36</v>
      </c>
      <c r="H48" s="198" t="s">
        <v>384</v>
      </c>
      <c r="I48" s="211">
        <v>89572</v>
      </c>
      <c r="J48" s="212" t="s">
        <v>116</v>
      </c>
      <c r="K48" s="594"/>
      <c r="L48" s="242"/>
      <c r="M48" s="248"/>
      <c r="N48" s="264"/>
      <c r="O48" s="264"/>
      <c r="P48" s="259"/>
      <c r="Q48" s="89"/>
      <c r="R48" s="89"/>
      <c r="S48" s="89"/>
      <c r="T48" s="89"/>
      <c r="U48" s="89"/>
      <c r="V48" s="89"/>
      <c r="W48" s="89"/>
      <c r="X48" s="89"/>
    </row>
    <row r="49" spans="1:24" s="10" customFormat="1" ht="21.6" customHeight="1" x14ac:dyDescent="0.3">
      <c r="A49" s="30"/>
      <c r="B49" s="27"/>
      <c r="C49" s="19"/>
      <c r="D49" s="25"/>
      <c r="E49" s="288">
        <f>SUM(E45:E48)</f>
        <v>1769032.6799999997</v>
      </c>
      <c r="F49" s="288"/>
      <c r="G49" s="77">
        <f>SUM(G45:G48)</f>
        <v>3000639.6799999997</v>
      </c>
      <c r="H49" s="29"/>
      <c r="I49" s="77">
        <f>SUM(I45:I48)</f>
        <v>1231607</v>
      </c>
      <c r="J49" s="31"/>
      <c r="K49" s="21"/>
      <c r="L49" s="242"/>
      <c r="M49" s="248"/>
      <c r="N49" s="264"/>
      <c r="O49" s="264"/>
      <c r="P49" s="259"/>
      <c r="Q49" s="89"/>
      <c r="R49" s="89"/>
      <c r="S49" s="89"/>
      <c r="T49" s="89"/>
      <c r="U49" s="89"/>
      <c r="V49" s="89"/>
      <c r="W49" s="89"/>
      <c r="X49" s="89"/>
    </row>
    <row r="50" spans="1:24" s="10" customFormat="1" ht="21.6" hidden="1" customHeight="1" x14ac:dyDescent="0.3">
      <c r="A50" s="30"/>
      <c r="B50" s="27"/>
      <c r="C50" s="19"/>
      <c r="D50" s="25"/>
      <c r="E50" s="68"/>
      <c r="F50" s="68"/>
      <c r="G50" s="77"/>
      <c r="H50" s="29"/>
      <c r="I50" s="77"/>
      <c r="J50" s="31"/>
      <c r="K50" s="21"/>
      <c r="L50" s="242"/>
      <c r="M50" s="248"/>
      <c r="N50" s="259"/>
      <c r="O50" s="259"/>
      <c r="P50" s="259"/>
      <c r="Q50" s="89"/>
      <c r="R50" s="89"/>
      <c r="S50" s="89"/>
      <c r="T50" s="89"/>
      <c r="U50" s="89"/>
      <c r="V50" s="89"/>
      <c r="W50" s="89"/>
      <c r="X50" s="89"/>
    </row>
    <row r="51" spans="1:24" s="10" customFormat="1" ht="21.6" hidden="1" customHeight="1" x14ac:dyDescent="0.3">
      <c r="A51" s="30"/>
      <c r="B51" s="27"/>
      <c r="C51" s="19"/>
      <c r="D51" s="25"/>
      <c r="E51" s="68"/>
      <c r="F51" s="68"/>
      <c r="G51" s="77"/>
      <c r="H51" s="29"/>
      <c r="I51" s="77"/>
      <c r="J51" s="31"/>
      <c r="K51" s="21"/>
      <c r="L51" s="242"/>
      <c r="M51" s="248"/>
      <c r="N51" s="259"/>
      <c r="O51" s="259"/>
      <c r="P51" s="259"/>
      <c r="Q51" s="89"/>
      <c r="R51" s="89"/>
      <c r="S51" s="89"/>
      <c r="T51" s="89"/>
      <c r="U51" s="89"/>
      <c r="V51" s="89"/>
      <c r="W51" s="89"/>
      <c r="X51" s="89"/>
    </row>
    <row r="52" spans="1:24" s="10" customFormat="1" ht="21.6" hidden="1" customHeight="1" x14ac:dyDescent="0.3">
      <c r="A52" s="30"/>
      <c r="B52" s="27"/>
      <c r="C52" s="19"/>
      <c r="D52" s="25"/>
      <c r="E52" s="68"/>
      <c r="F52" s="68"/>
      <c r="G52" s="77"/>
      <c r="H52" s="29"/>
      <c r="I52" s="77"/>
      <c r="J52" s="31"/>
      <c r="K52" s="21"/>
      <c r="L52" s="242"/>
      <c r="M52" s="248"/>
      <c r="N52" s="259"/>
      <c r="O52" s="259"/>
      <c r="P52" s="259"/>
      <c r="Q52" s="89"/>
      <c r="R52" s="89"/>
      <c r="S52" s="89"/>
      <c r="T52" s="89"/>
      <c r="U52" s="89"/>
      <c r="V52" s="89"/>
      <c r="W52" s="89"/>
      <c r="X52" s="89"/>
    </row>
    <row r="53" spans="1:24" s="10" customFormat="1" ht="21.6" hidden="1" customHeight="1" x14ac:dyDescent="0.3">
      <c r="A53" s="30"/>
      <c r="B53" s="27"/>
      <c r="C53" s="19"/>
      <c r="D53" s="25"/>
      <c r="E53" s="68"/>
      <c r="F53" s="68"/>
      <c r="G53" s="77"/>
      <c r="H53" s="29"/>
      <c r="I53" s="77"/>
      <c r="J53" s="31"/>
      <c r="K53" s="21"/>
      <c r="L53" s="242"/>
      <c r="M53" s="248"/>
      <c r="N53" s="259"/>
      <c r="O53" s="259"/>
      <c r="P53" s="259"/>
      <c r="Q53" s="89"/>
      <c r="R53" s="89"/>
      <c r="S53" s="89"/>
      <c r="T53" s="89"/>
      <c r="U53" s="89"/>
      <c r="V53" s="89"/>
      <c r="W53" s="89"/>
      <c r="X53" s="89"/>
    </row>
    <row r="54" spans="1:24" s="10" customFormat="1" ht="21.6" hidden="1" customHeight="1" x14ac:dyDescent="0.3">
      <c r="A54" s="30"/>
      <c r="B54" s="27"/>
      <c r="C54" s="19"/>
      <c r="D54" s="25"/>
      <c r="E54" s="68"/>
      <c r="F54" s="68"/>
      <c r="G54" s="77"/>
      <c r="H54" s="29"/>
      <c r="I54" s="77"/>
      <c r="J54" s="31"/>
      <c r="K54" s="21"/>
      <c r="L54" s="242"/>
      <c r="M54" s="248"/>
      <c r="N54" s="259"/>
      <c r="O54" s="259"/>
      <c r="P54" s="259"/>
      <c r="Q54" s="89"/>
      <c r="R54" s="89"/>
      <c r="S54" s="89"/>
      <c r="T54" s="89"/>
      <c r="U54" s="89"/>
      <c r="V54" s="89"/>
      <c r="W54" s="89"/>
      <c r="X54" s="89"/>
    </row>
    <row r="55" spans="1:24" s="10" customFormat="1" ht="21.6" hidden="1" customHeight="1" x14ac:dyDescent="0.3">
      <c r="A55" s="30"/>
      <c r="B55" s="27"/>
      <c r="C55" s="19"/>
      <c r="D55" s="25"/>
      <c r="E55" s="68"/>
      <c r="F55" s="68"/>
      <c r="G55" s="77"/>
      <c r="H55" s="29"/>
      <c r="I55" s="77"/>
      <c r="J55" s="31"/>
      <c r="K55" s="21"/>
      <c r="L55" s="242"/>
      <c r="M55" s="248"/>
      <c r="N55" s="259"/>
      <c r="O55" s="259"/>
      <c r="P55" s="259"/>
      <c r="Q55" s="89"/>
      <c r="R55" s="89"/>
      <c r="S55" s="89"/>
      <c r="T55" s="89"/>
      <c r="U55" s="89"/>
      <c r="V55" s="89"/>
      <c r="W55" s="89"/>
      <c r="X55" s="89"/>
    </row>
    <row r="56" spans="1:24" s="10" customFormat="1" ht="21.6" hidden="1" customHeight="1" x14ac:dyDescent="0.3">
      <c r="A56" s="30"/>
      <c r="B56" s="27"/>
      <c r="C56" s="19"/>
      <c r="D56" s="25"/>
      <c r="E56" s="68"/>
      <c r="F56" s="68"/>
      <c r="G56" s="77"/>
      <c r="H56" s="29"/>
      <c r="I56" s="77"/>
      <c r="J56" s="31"/>
      <c r="K56" s="21"/>
      <c r="L56" s="242"/>
      <c r="M56" s="248"/>
      <c r="N56" s="259"/>
      <c r="O56" s="259"/>
      <c r="P56" s="259"/>
      <c r="Q56" s="89"/>
      <c r="R56" s="89"/>
      <c r="S56" s="89"/>
      <c r="T56" s="89"/>
      <c r="U56" s="89"/>
      <c r="V56" s="89"/>
      <c r="W56" s="89"/>
      <c r="X56" s="89"/>
    </row>
    <row r="57" spans="1:24" s="10" customFormat="1" ht="21.6" hidden="1" customHeight="1" x14ac:dyDescent="0.3">
      <c r="A57" s="30"/>
      <c r="B57" s="27"/>
      <c r="C57" s="19"/>
      <c r="D57" s="25"/>
      <c r="E57" s="68"/>
      <c r="F57" s="68"/>
      <c r="G57" s="77"/>
      <c r="H57" s="29"/>
      <c r="I57" s="77"/>
      <c r="J57" s="31"/>
      <c r="K57" s="21"/>
      <c r="L57" s="242"/>
      <c r="M57" s="248"/>
      <c r="N57" s="259"/>
      <c r="O57" s="259"/>
      <c r="P57" s="259"/>
      <c r="Q57" s="89"/>
      <c r="R57" s="89"/>
      <c r="S57" s="89"/>
      <c r="T57" s="89"/>
      <c r="U57" s="89"/>
      <c r="V57" s="89"/>
      <c r="W57" s="89"/>
      <c r="X57" s="89"/>
    </row>
    <row r="58" spans="1:24" s="10" customFormat="1" ht="21.6" hidden="1" customHeight="1" x14ac:dyDescent="0.3">
      <c r="A58" s="30"/>
      <c r="B58" s="27"/>
      <c r="C58" s="19"/>
      <c r="D58" s="25"/>
      <c r="E58" s="68"/>
      <c r="F58" s="68"/>
      <c r="G58" s="77"/>
      <c r="H58" s="29"/>
      <c r="I58" s="77"/>
      <c r="J58" s="31"/>
      <c r="K58" s="21"/>
      <c r="L58" s="242"/>
      <c r="M58" s="248"/>
      <c r="N58" s="259"/>
      <c r="O58" s="259"/>
      <c r="P58" s="259"/>
      <c r="Q58" s="89"/>
      <c r="R58" s="89"/>
      <c r="S58" s="89"/>
      <c r="T58" s="89"/>
      <c r="U58" s="89"/>
      <c r="V58" s="89"/>
      <c r="W58" s="89"/>
      <c r="X58" s="89"/>
    </row>
    <row r="59" spans="1:24" s="10" customFormat="1" ht="21.6" customHeight="1" x14ac:dyDescent="0.3">
      <c r="A59" s="30"/>
      <c r="B59" s="249"/>
      <c r="C59" s="250"/>
      <c r="D59" s="251"/>
      <c r="E59" s="252"/>
      <c r="F59" s="252"/>
      <c r="G59" s="253"/>
      <c r="H59" s="254"/>
      <c r="I59" s="253"/>
      <c r="J59" s="255"/>
      <c r="K59" s="237"/>
      <c r="L59" s="242"/>
      <c r="M59" s="248"/>
      <c r="N59" s="259"/>
      <c r="O59" s="259"/>
      <c r="P59" s="259"/>
      <c r="Q59" s="89"/>
      <c r="R59" s="89"/>
      <c r="S59" s="89"/>
      <c r="T59" s="89"/>
      <c r="U59" s="89"/>
      <c r="V59" s="89"/>
      <c r="W59" s="89"/>
      <c r="X59" s="89"/>
    </row>
    <row r="60" spans="1:24" s="10" customFormat="1" ht="21.6" customHeight="1" x14ac:dyDescent="0.3">
      <c r="A60" s="30"/>
      <c r="B60" s="249"/>
      <c r="C60" s="250"/>
      <c r="D60" s="251"/>
      <c r="E60" s="252"/>
      <c r="F60" s="252"/>
      <c r="G60" s="253"/>
      <c r="H60" s="254"/>
      <c r="I60" s="253"/>
      <c r="J60" s="255"/>
      <c r="K60" s="237"/>
      <c r="L60" s="242"/>
      <c r="M60" s="248"/>
      <c r="N60" s="259"/>
      <c r="O60" s="259"/>
      <c r="P60" s="259"/>
      <c r="Q60" s="89"/>
      <c r="R60" s="89"/>
      <c r="S60" s="89"/>
      <c r="T60" s="89"/>
      <c r="U60" s="89"/>
      <c r="V60" s="89"/>
      <c r="W60" s="89"/>
      <c r="X60" s="89"/>
    </row>
    <row r="61" spans="1:24" s="10" customFormat="1" ht="78" customHeight="1" x14ac:dyDescent="0.3">
      <c r="A61" s="30">
        <v>8</v>
      </c>
      <c r="B61" s="27" t="s">
        <v>292</v>
      </c>
      <c r="C61" s="195">
        <v>878</v>
      </c>
      <c r="D61" s="230" t="s">
        <v>198</v>
      </c>
      <c r="E61" s="196"/>
      <c r="F61" s="196"/>
      <c r="G61" s="197">
        <v>3562329</v>
      </c>
      <c r="H61" s="198"/>
      <c r="I61" s="197"/>
      <c r="J61" s="198"/>
      <c r="K61" s="202" t="s">
        <v>200</v>
      </c>
      <c r="L61" s="242"/>
      <c r="M61" s="248"/>
      <c r="N61" s="259"/>
      <c r="O61" s="259"/>
      <c r="P61" s="259"/>
      <c r="Q61" s="89"/>
      <c r="R61" s="89"/>
      <c r="S61" s="89"/>
      <c r="T61" s="89"/>
      <c r="U61" s="89"/>
      <c r="V61" s="89"/>
      <c r="W61" s="89"/>
      <c r="X61" s="89"/>
    </row>
    <row r="62" spans="1:24" s="10" customFormat="1" ht="24.9" customHeight="1" x14ac:dyDescent="0.3">
      <c r="A62" s="30"/>
      <c r="B62" s="27" t="s">
        <v>548</v>
      </c>
      <c r="C62" s="21"/>
      <c r="D62" s="21"/>
      <c r="E62" s="30"/>
      <c r="F62" s="30"/>
      <c r="G62" s="77"/>
      <c r="H62" s="31"/>
      <c r="I62" s="77"/>
      <c r="J62" s="31"/>
      <c r="K62" s="21"/>
      <c r="L62" s="242"/>
      <c r="M62" s="91"/>
      <c r="N62" s="89"/>
      <c r="O62" s="89"/>
      <c r="P62" s="89"/>
      <c r="Q62" s="89"/>
      <c r="R62" s="89"/>
      <c r="S62" s="89"/>
      <c r="T62" s="89"/>
      <c r="U62" s="89"/>
      <c r="V62" s="89"/>
      <c r="W62" s="89"/>
      <c r="X62" s="89"/>
    </row>
    <row r="63" spans="1:24" s="10" customFormat="1" ht="31.2" x14ac:dyDescent="0.3">
      <c r="A63" s="30"/>
      <c r="B63" s="27" t="s">
        <v>549</v>
      </c>
      <c r="C63" s="21"/>
      <c r="D63" s="21"/>
      <c r="E63" s="30"/>
      <c r="F63" s="30"/>
      <c r="G63" s="77"/>
      <c r="H63" s="31"/>
      <c r="I63" s="77"/>
      <c r="J63" s="31"/>
      <c r="K63" s="21"/>
      <c r="L63" s="242"/>
      <c r="M63" s="91"/>
      <c r="N63" s="89"/>
      <c r="O63" s="89"/>
      <c r="P63" s="89"/>
      <c r="Q63" s="89"/>
      <c r="R63" s="89"/>
      <c r="S63" s="89"/>
      <c r="T63" s="89"/>
      <c r="U63" s="89"/>
      <c r="V63" s="89"/>
      <c r="W63" s="89"/>
      <c r="X63" s="89"/>
    </row>
    <row r="64" spans="1:24" s="10" customFormat="1" ht="37.5" customHeight="1" x14ac:dyDescent="0.3">
      <c r="A64" s="32">
        <v>9</v>
      </c>
      <c r="B64" s="23" t="s">
        <v>298</v>
      </c>
      <c r="C64" s="34"/>
      <c r="D64" s="34"/>
      <c r="E64" s="32"/>
      <c r="F64" s="32"/>
      <c r="G64" s="76"/>
      <c r="H64" s="33"/>
      <c r="I64" s="76"/>
      <c r="J64" s="33"/>
      <c r="K64" s="34"/>
      <c r="L64" s="242"/>
      <c r="M64" s="91"/>
      <c r="N64" s="89"/>
      <c r="O64" s="89"/>
      <c r="P64" s="89"/>
      <c r="Q64" s="89"/>
      <c r="R64" s="89"/>
      <c r="S64" s="89"/>
      <c r="T64" s="89"/>
      <c r="U64" s="89"/>
      <c r="V64" s="89"/>
      <c r="W64" s="89"/>
      <c r="X64" s="89"/>
    </row>
    <row r="65" spans="1:24" s="10" customFormat="1" ht="24.9" customHeight="1" x14ac:dyDescent="0.3">
      <c r="A65" s="30"/>
      <c r="B65" s="21" t="s">
        <v>550</v>
      </c>
      <c r="C65" s="195"/>
      <c r="D65" s="202"/>
      <c r="E65" s="196"/>
      <c r="F65" s="196"/>
      <c r="G65" s="197"/>
      <c r="H65" s="198"/>
      <c r="I65" s="197"/>
      <c r="J65" s="198"/>
      <c r="K65" s="625"/>
      <c r="L65" s="242"/>
      <c r="M65" s="91"/>
      <c r="N65" s="89"/>
      <c r="O65" s="89"/>
      <c r="P65" s="89"/>
      <c r="Q65" s="89"/>
      <c r="R65" s="89"/>
      <c r="S65" s="89"/>
      <c r="T65" s="89"/>
      <c r="U65" s="89"/>
      <c r="V65" s="89"/>
      <c r="W65" s="89"/>
      <c r="X65" s="89"/>
    </row>
    <row r="66" spans="1:24" s="10" customFormat="1" ht="24.9" customHeight="1" x14ac:dyDescent="0.3">
      <c r="A66" s="30"/>
      <c r="B66" s="21"/>
      <c r="C66" s="195"/>
      <c r="D66" s="202"/>
      <c r="E66" s="196"/>
      <c r="F66" s="196"/>
      <c r="G66" s="197"/>
      <c r="H66" s="198"/>
      <c r="I66" s="197"/>
      <c r="J66" s="198"/>
      <c r="K66" s="625"/>
      <c r="L66" s="242"/>
      <c r="M66" s="248"/>
      <c r="N66" s="89"/>
      <c r="O66" s="89"/>
      <c r="P66" s="89"/>
      <c r="Q66" s="89"/>
      <c r="R66" s="89"/>
      <c r="S66" s="89"/>
      <c r="T66" s="89"/>
      <c r="U66" s="89"/>
      <c r="V66" s="89"/>
      <c r="W66" s="89"/>
      <c r="X66" s="89"/>
    </row>
    <row r="67" spans="1:24" s="10" customFormat="1" ht="24.9" customHeight="1" x14ac:dyDescent="0.3">
      <c r="A67" s="30"/>
      <c r="B67" s="21"/>
      <c r="C67" s="195"/>
      <c r="D67" s="202"/>
      <c r="E67" s="196"/>
      <c r="F67" s="196"/>
      <c r="G67" s="197"/>
      <c r="H67" s="198"/>
      <c r="I67" s="197"/>
      <c r="J67" s="198"/>
      <c r="K67" s="625"/>
      <c r="L67" s="242"/>
      <c r="M67" s="248"/>
      <c r="N67" s="89"/>
      <c r="O67" s="89"/>
      <c r="P67" s="89"/>
      <c r="Q67" s="89"/>
      <c r="R67" s="89"/>
      <c r="S67" s="89"/>
      <c r="T67" s="89"/>
      <c r="U67" s="89"/>
      <c r="V67" s="89"/>
      <c r="W67" s="89"/>
      <c r="X67" s="89"/>
    </row>
    <row r="68" spans="1:24" s="10" customFormat="1" ht="24.9" customHeight="1" x14ac:dyDescent="0.3">
      <c r="A68" s="30"/>
      <c r="B68" s="21"/>
      <c r="C68" s="59"/>
      <c r="D68" s="62"/>
      <c r="E68" s="68"/>
      <c r="F68" s="68"/>
      <c r="G68" s="73"/>
      <c r="H68" s="65"/>
      <c r="I68" s="73"/>
      <c r="J68" s="65"/>
      <c r="K68" s="62"/>
      <c r="L68" s="242"/>
      <c r="M68" s="248"/>
      <c r="N68" s="89"/>
      <c r="O68" s="89"/>
      <c r="P68" s="89"/>
      <c r="Q68" s="89"/>
      <c r="R68" s="89"/>
      <c r="S68" s="89"/>
      <c r="T68" s="89"/>
      <c r="U68" s="89"/>
      <c r="V68" s="89"/>
      <c r="W68" s="89"/>
      <c r="X68" s="89"/>
    </row>
    <row r="69" spans="1:24" s="10" customFormat="1" ht="15.6" x14ac:dyDescent="0.3">
      <c r="A69" s="32">
        <v>10</v>
      </c>
      <c r="B69" s="23"/>
      <c r="C69" s="34"/>
      <c r="D69" s="34"/>
      <c r="E69" s="53"/>
      <c r="F69" s="53"/>
      <c r="G69" s="76"/>
      <c r="H69" s="33"/>
      <c r="I69" s="76"/>
      <c r="J69" s="33"/>
      <c r="K69" s="34"/>
      <c r="L69" s="242"/>
      <c r="M69" s="248"/>
      <c r="N69" s="89"/>
      <c r="O69" s="89"/>
      <c r="P69" s="89"/>
      <c r="Q69" s="89"/>
      <c r="R69" s="89"/>
      <c r="S69" s="89"/>
      <c r="T69" s="89"/>
      <c r="U69" s="89"/>
      <c r="V69" s="89"/>
      <c r="W69" s="89"/>
      <c r="X69" s="89"/>
    </row>
    <row r="70" spans="1:24" s="10" customFormat="1" ht="29.4" customHeight="1" x14ac:dyDescent="0.3">
      <c r="A70" s="64"/>
      <c r="B70" s="62"/>
      <c r="C70" s="195"/>
      <c r="D70" s="202"/>
      <c r="E70" s="195"/>
      <c r="F70" s="195"/>
      <c r="G70" s="197"/>
      <c r="H70" s="195"/>
      <c r="I70" s="197"/>
      <c r="J70" s="195"/>
      <c r="K70" s="202" t="s">
        <v>169</v>
      </c>
      <c r="L70" s="242"/>
      <c r="M70" s="248"/>
      <c r="N70" s="89"/>
      <c r="O70" s="89"/>
      <c r="P70" s="89"/>
      <c r="Q70" s="89"/>
      <c r="R70" s="89"/>
      <c r="S70" s="89"/>
      <c r="T70" s="89"/>
      <c r="U70" s="89"/>
      <c r="V70" s="89"/>
      <c r="W70" s="89"/>
      <c r="X70" s="89"/>
    </row>
    <row r="71" spans="1:24" s="10" customFormat="1" ht="29.4" customHeight="1" x14ac:dyDescent="0.3">
      <c r="A71" s="64"/>
      <c r="B71" s="63"/>
      <c r="C71" s="59"/>
      <c r="D71" s="62"/>
      <c r="E71" s="64"/>
      <c r="F71" s="64"/>
      <c r="G71" s="73"/>
      <c r="H71" s="65"/>
      <c r="I71" s="73"/>
      <c r="J71" s="65"/>
      <c r="K71" s="62"/>
      <c r="L71" s="242"/>
      <c r="M71" s="248"/>
      <c r="N71" s="89"/>
      <c r="O71" s="89"/>
      <c r="P71" s="89"/>
      <c r="Q71" s="89"/>
      <c r="R71" s="89"/>
      <c r="S71" s="89"/>
      <c r="T71" s="89"/>
      <c r="U71" s="89"/>
      <c r="V71" s="89"/>
      <c r="W71" s="89"/>
      <c r="X71" s="89"/>
    </row>
    <row r="72" spans="1:24" s="15" customFormat="1" ht="15.6" x14ac:dyDescent="0.3">
      <c r="A72" s="607">
        <v>11</v>
      </c>
      <c r="B72" s="615" t="s">
        <v>289</v>
      </c>
      <c r="C72" s="195" t="s">
        <v>179</v>
      </c>
      <c r="D72" s="210">
        <v>45775</v>
      </c>
      <c r="E72" s="195"/>
      <c r="F72" s="195"/>
      <c r="G72" s="197">
        <v>12875000</v>
      </c>
      <c r="H72" s="195"/>
      <c r="I72" s="221"/>
      <c r="J72" s="222"/>
      <c r="K72" s="222"/>
      <c r="L72" s="92"/>
      <c r="M72" s="92"/>
      <c r="N72" s="92"/>
      <c r="O72" s="92"/>
      <c r="P72" s="92"/>
      <c r="Q72" s="92"/>
      <c r="R72" s="92"/>
      <c r="S72" s="92"/>
      <c r="T72" s="92"/>
      <c r="U72" s="92"/>
      <c r="V72" s="92"/>
      <c r="W72" s="92"/>
      <c r="X72" s="92"/>
    </row>
    <row r="73" spans="1:24" s="10" customFormat="1" ht="33.75" customHeight="1" x14ac:dyDescent="0.3">
      <c r="A73" s="607"/>
      <c r="B73" s="615"/>
      <c r="C73" s="195" t="s">
        <v>181</v>
      </c>
      <c r="D73" s="210">
        <v>46167</v>
      </c>
      <c r="E73" s="195"/>
      <c r="F73" s="195"/>
      <c r="G73" s="197">
        <v>14816000</v>
      </c>
      <c r="H73" s="195"/>
      <c r="I73" s="195"/>
      <c r="J73" s="195"/>
      <c r="K73" s="195"/>
      <c r="L73" s="89"/>
      <c r="M73" s="89"/>
      <c r="N73" s="89"/>
      <c r="O73" s="89"/>
      <c r="P73" s="89"/>
      <c r="Q73" s="89"/>
      <c r="R73" s="89"/>
      <c r="S73" s="89"/>
      <c r="T73" s="89"/>
      <c r="U73" s="89"/>
      <c r="V73" s="89"/>
      <c r="W73" s="89"/>
      <c r="X73" s="89"/>
    </row>
    <row r="74" spans="1:24" ht="15.6" x14ac:dyDescent="0.3">
      <c r="A74" s="113">
        <v>12</v>
      </c>
      <c r="B74" s="27"/>
      <c r="C74" s="195" t="s">
        <v>512</v>
      </c>
      <c r="D74" s="210"/>
      <c r="E74" s="195"/>
      <c r="F74" s="195"/>
      <c r="G74" s="197">
        <v>350000</v>
      </c>
      <c r="H74" s="195"/>
      <c r="I74" s="195"/>
      <c r="J74" s="195"/>
      <c r="K74" s="195"/>
      <c r="L74" s="84"/>
      <c r="M74" s="84"/>
      <c r="N74" s="84"/>
      <c r="O74" s="84"/>
      <c r="P74" s="84"/>
      <c r="Q74" s="84"/>
      <c r="R74" s="84"/>
      <c r="S74" s="84"/>
      <c r="T74" s="84"/>
      <c r="U74" s="84"/>
      <c r="V74" s="84"/>
      <c r="W74" s="84"/>
      <c r="X74" s="84"/>
    </row>
    <row r="75" spans="1:24" ht="15.6" x14ac:dyDescent="0.3">
      <c r="A75" s="14"/>
      <c r="B75" s="327"/>
      <c r="C75" s="195" t="s">
        <v>551</v>
      </c>
      <c r="D75" s="210"/>
      <c r="E75" s="195"/>
      <c r="F75" s="195"/>
      <c r="G75" s="197">
        <v>38746000</v>
      </c>
      <c r="H75" s="328"/>
      <c r="I75" s="328"/>
      <c r="J75" s="328"/>
      <c r="K75" s="328"/>
    </row>
    <row r="76" spans="1:24" ht="16.2" thickBot="1" x14ac:dyDescent="0.35">
      <c r="A76" s="14"/>
      <c r="B76" s="327"/>
      <c r="C76" s="325"/>
      <c r="D76" s="326"/>
      <c r="E76" s="195" t="s">
        <v>552</v>
      </c>
      <c r="F76" s="195"/>
      <c r="G76" s="314">
        <v>66787000</v>
      </c>
      <c r="H76" s="328"/>
      <c r="I76" s="328"/>
      <c r="J76" s="328"/>
      <c r="K76" s="328"/>
    </row>
    <row r="77" spans="1:24" ht="15.6" thickBot="1" x14ac:dyDescent="0.35"/>
    <row r="78" spans="1:24" s="266" customFormat="1" ht="15.6" thickBot="1" x14ac:dyDescent="0.35">
      <c r="A78" s="267"/>
      <c r="B78" s="268"/>
      <c r="C78" s="268"/>
      <c r="D78" s="268"/>
      <c r="E78" s="269"/>
      <c r="F78" s="269"/>
      <c r="G78" s="269"/>
      <c r="H78" s="269"/>
      <c r="I78" s="269"/>
      <c r="J78" s="269"/>
      <c r="K78" s="268"/>
      <c r="L78" s="270">
        <f t="shared" ref="L78:X78" si="1">SUM(L3:L77)</f>
        <v>29912190.050000001</v>
      </c>
      <c r="M78" s="270">
        <f t="shared" si="1"/>
        <v>0</v>
      </c>
      <c r="N78" s="270">
        <f t="shared" si="1"/>
        <v>0</v>
      </c>
      <c r="O78" s="270">
        <f t="shared" si="1"/>
        <v>0</v>
      </c>
      <c r="P78" s="270">
        <f t="shared" si="1"/>
        <v>0</v>
      </c>
      <c r="Q78" s="270">
        <f t="shared" si="1"/>
        <v>0</v>
      </c>
      <c r="R78" s="270">
        <f t="shared" si="1"/>
        <v>0</v>
      </c>
      <c r="S78" s="270">
        <f t="shared" si="1"/>
        <v>0</v>
      </c>
      <c r="T78" s="270">
        <f t="shared" si="1"/>
        <v>0</v>
      </c>
      <c r="U78" s="270">
        <f t="shared" si="1"/>
        <v>0</v>
      </c>
      <c r="V78" s="270">
        <f t="shared" si="1"/>
        <v>0</v>
      </c>
      <c r="W78" s="270">
        <f t="shared" si="1"/>
        <v>0</v>
      </c>
      <c r="X78" s="270">
        <f t="shared" si="1"/>
        <v>0</v>
      </c>
    </row>
  </sheetData>
  <mergeCells count="18">
    <mergeCell ref="B26:B28"/>
    <mergeCell ref="A9:A10"/>
    <mergeCell ref="B9:B10"/>
    <mergeCell ref="K9:K10"/>
    <mergeCell ref="B22:B24"/>
    <mergeCell ref="K65:K67"/>
    <mergeCell ref="A72:A73"/>
    <mergeCell ref="B72:B73"/>
    <mergeCell ref="A31:A33"/>
    <mergeCell ref="B31:B33"/>
    <mergeCell ref="A45:A48"/>
    <mergeCell ref="B45:B48"/>
    <mergeCell ref="K45:K48"/>
    <mergeCell ref="L1:M1"/>
    <mergeCell ref="A1:J1"/>
    <mergeCell ref="N1:O1"/>
    <mergeCell ref="P1:X1"/>
    <mergeCell ref="B3:B4"/>
  </mergeCells>
  <phoneticPr fontId="21" type="noConversion"/>
  <pageMargins left="0.22" right="0.27559055118110198" top="0.511811023622047" bottom="0.31496062992126" header="0.31496062992126" footer="0.31496062992126"/>
  <pageSetup scale="80" fitToHeight="0" orientation="portrait" r:id="rId1"/>
  <rowBreaks count="1" manualBreakCount="1">
    <brk id="43" max="2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FD1B-D168-43E4-BF38-24BFED295430}">
  <dimension ref="A1:L40"/>
  <sheetViews>
    <sheetView view="pageBreakPreview" zoomScale="85" zoomScaleNormal="70" zoomScaleSheetLayoutView="85" workbookViewId="0">
      <pane ySplit="1" topLeftCell="A2" activePane="bottomLeft" state="frozen"/>
      <selection pane="bottomLeft" activeCell="E33" sqref="E33"/>
    </sheetView>
  </sheetViews>
  <sheetFormatPr defaultColWidth="8.6640625" defaultRowHeight="15" x14ac:dyDescent="0.3"/>
  <cols>
    <col min="1" max="1" width="4.5546875" style="4" customWidth="1"/>
    <col min="2" max="3" width="20.88671875" style="5" customWidth="1"/>
    <col min="4" max="4" width="14.109375" style="5" customWidth="1"/>
    <col min="5" max="5" width="18.5546875" style="4" customWidth="1"/>
    <col min="6" max="6" width="16.5546875" style="4" customWidth="1"/>
    <col min="7" max="7" width="15.88671875" style="4" customWidth="1"/>
    <col min="8" max="8" width="110.88671875" style="5" hidden="1" customWidth="1"/>
    <col min="9" max="9" width="23.88671875" style="5" customWidth="1"/>
    <col min="10" max="10" width="15.44140625" style="5" bestFit="1" customWidth="1"/>
    <col min="11" max="11" width="8" style="5" bestFit="1" customWidth="1"/>
    <col min="12" max="12" width="18.33203125" style="5" customWidth="1"/>
    <col min="13" max="16384" width="8.6640625" style="5"/>
  </cols>
  <sheetData>
    <row r="1" spans="1:12" ht="15.6" x14ac:dyDescent="0.3">
      <c r="A1" s="635" t="s">
        <v>553</v>
      </c>
      <c r="B1" s="635"/>
      <c r="C1" s="635"/>
      <c r="D1" s="635"/>
      <c r="E1" s="635"/>
      <c r="F1" s="635"/>
      <c r="G1" s="635"/>
      <c r="H1" s="635"/>
      <c r="I1" s="635"/>
    </row>
    <row r="2" spans="1:12" s="10" customFormat="1" ht="42.6" customHeight="1" x14ac:dyDescent="0.3">
      <c r="A2" s="18" t="s">
        <v>4</v>
      </c>
      <c r="B2" s="57" t="s">
        <v>5</v>
      </c>
      <c r="C2" s="58" t="s">
        <v>554</v>
      </c>
      <c r="D2" s="58" t="s">
        <v>7</v>
      </c>
      <c r="E2" s="58" t="s">
        <v>8</v>
      </c>
      <c r="F2" s="58" t="s">
        <v>555</v>
      </c>
      <c r="G2" s="58" t="s">
        <v>556</v>
      </c>
      <c r="H2" s="58" t="s">
        <v>14</v>
      </c>
      <c r="I2" s="58" t="s">
        <v>557</v>
      </c>
    </row>
    <row r="3" spans="1:12" ht="21" customHeight="1" x14ac:dyDescent="0.3">
      <c r="A3" s="608">
        <v>1</v>
      </c>
      <c r="B3" s="630" t="s">
        <v>381</v>
      </c>
      <c r="C3" s="93" t="s">
        <v>398</v>
      </c>
      <c r="D3" s="93" t="s">
        <v>399</v>
      </c>
      <c r="E3" s="93" t="s">
        <v>58</v>
      </c>
      <c r="F3" s="74">
        <v>1877746</v>
      </c>
      <c r="G3" s="74">
        <v>1877746</v>
      </c>
      <c r="H3" s="636"/>
      <c r="I3" s="627" t="s">
        <v>558</v>
      </c>
      <c r="L3" s="6"/>
    </row>
    <row r="4" spans="1:12" s="4" customFormat="1" ht="22.5" customHeight="1" x14ac:dyDescent="0.3">
      <c r="A4" s="609"/>
      <c r="B4" s="631"/>
      <c r="C4" s="93" t="s">
        <v>400</v>
      </c>
      <c r="D4" s="93" t="s">
        <v>336</v>
      </c>
      <c r="E4" s="93" t="s">
        <v>60</v>
      </c>
      <c r="F4" s="74">
        <v>1877746</v>
      </c>
      <c r="G4" s="74">
        <v>1877746</v>
      </c>
      <c r="H4" s="636"/>
      <c r="I4" s="628"/>
      <c r="L4" s="7"/>
    </row>
    <row r="5" spans="1:12" ht="21" customHeight="1" x14ac:dyDescent="0.3">
      <c r="A5" s="609"/>
      <c r="B5" s="631"/>
      <c r="C5" s="93" t="s">
        <v>401</v>
      </c>
      <c r="D5" s="93" t="s">
        <v>402</v>
      </c>
      <c r="E5" s="93" t="s">
        <v>114</v>
      </c>
      <c r="F5" s="74">
        <v>1877746</v>
      </c>
      <c r="G5" s="74">
        <v>1877746</v>
      </c>
      <c r="H5" s="636"/>
      <c r="I5" s="628"/>
      <c r="L5" s="6"/>
    </row>
    <row r="6" spans="1:12" ht="27.9" customHeight="1" x14ac:dyDescent="0.3">
      <c r="A6" s="610"/>
      <c r="B6" s="619"/>
      <c r="C6" s="93" t="s">
        <v>403</v>
      </c>
      <c r="D6" s="93" t="s">
        <v>404</v>
      </c>
      <c r="E6" s="93" t="s">
        <v>117</v>
      </c>
      <c r="F6" s="74">
        <v>1877746</v>
      </c>
      <c r="G6" s="74">
        <v>1877746</v>
      </c>
      <c r="H6" s="636"/>
      <c r="I6" s="629"/>
      <c r="L6" s="6"/>
    </row>
    <row r="7" spans="1:12" ht="24.9" customHeight="1" x14ac:dyDescent="0.3">
      <c r="A7" s="112"/>
      <c r="B7" s="112"/>
      <c r="E7" s="64" t="s">
        <v>408</v>
      </c>
      <c r="F7" s="73">
        <f>SUM(F3:F6)</f>
        <v>7510984</v>
      </c>
      <c r="G7" s="73">
        <f>SUM(G3:G6)</f>
        <v>7510984</v>
      </c>
      <c r="H7" s="636"/>
      <c r="I7" s="84"/>
      <c r="L7" s="6"/>
    </row>
    <row r="8" spans="1:12" ht="24.9" customHeight="1" x14ac:dyDescent="0.3">
      <c r="A8" s="627">
        <v>2</v>
      </c>
      <c r="B8" s="630" t="s">
        <v>559</v>
      </c>
      <c r="C8" s="93" t="s">
        <v>414</v>
      </c>
      <c r="D8" s="93" t="s">
        <v>415</v>
      </c>
      <c r="E8" s="67" t="s">
        <v>55</v>
      </c>
      <c r="F8" s="94">
        <v>4005406</v>
      </c>
      <c r="G8" s="95">
        <v>4005406</v>
      </c>
      <c r="H8" s="83"/>
      <c r="I8" s="627" t="s">
        <v>560</v>
      </c>
      <c r="K8" s="4"/>
      <c r="L8" s="6"/>
    </row>
    <row r="9" spans="1:12" ht="27.6" customHeight="1" x14ac:dyDescent="0.3">
      <c r="A9" s="628"/>
      <c r="B9" s="631"/>
      <c r="C9" s="93" t="s">
        <v>417</v>
      </c>
      <c r="D9" s="93" t="s">
        <v>415</v>
      </c>
      <c r="E9" s="67" t="s">
        <v>58</v>
      </c>
      <c r="F9" s="94">
        <v>4246022</v>
      </c>
      <c r="G9" s="95">
        <v>4246022</v>
      </c>
      <c r="H9" s="83"/>
      <c r="I9" s="628"/>
      <c r="J9" s="3"/>
      <c r="K9" s="7"/>
      <c r="L9" s="6"/>
    </row>
    <row r="10" spans="1:12" ht="41.4" customHeight="1" x14ac:dyDescent="0.3">
      <c r="A10" s="629"/>
      <c r="B10" s="619"/>
      <c r="C10" s="93" t="s">
        <v>418</v>
      </c>
      <c r="D10" s="93" t="s">
        <v>419</v>
      </c>
      <c r="E10" s="67" t="s">
        <v>60</v>
      </c>
      <c r="F10" s="94">
        <v>4527189</v>
      </c>
      <c r="G10" s="95">
        <v>4527189</v>
      </c>
      <c r="H10" s="83"/>
      <c r="I10" s="628"/>
      <c r="J10" s="3"/>
      <c r="K10" s="7"/>
      <c r="L10" s="6"/>
    </row>
    <row r="11" spans="1:12" ht="27.6" customHeight="1" x14ac:dyDescent="0.3">
      <c r="A11" s="19"/>
      <c r="B11" s="27"/>
      <c r="C11" s="66"/>
      <c r="D11" s="66"/>
      <c r="E11" s="64" t="s">
        <v>420</v>
      </c>
      <c r="F11" s="73">
        <f>SUM(F8:F10)</f>
        <v>12778617</v>
      </c>
      <c r="G11" s="80">
        <f>SUM(G8:G10)</f>
        <v>12778617</v>
      </c>
      <c r="H11" s="62"/>
      <c r="I11" s="84"/>
      <c r="J11" s="3"/>
      <c r="K11" s="7"/>
      <c r="L11" s="6"/>
    </row>
    <row r="12" spans="1:12" s="10" customFormat="1" ht="32.25" customHeight="1" x14ac:dyDescent="0.3">
      <c r="A12" s="632">
        <v>3</v>
      </c>
      <c r="B12" s="616" t="s">
        <v>561</v>
      </c>
      <c r="C12" s="93" t="s">
        <v>430</v>
      </c>
      <c r="D12" s="96" t="s">
        <v>423</v>
      </c>
      <c r="E12" s="67">
        <v>45833</v>
      </c>
      <c r="F12" s="74">
        <v>2787500</v>
      </c>
      <c r="G12" s="74">
        <v>2787500</v>
      </c>
      <c r="H12" s="83" t="s">
        <v>76</v>
      </c>
      <c r="I12" s="627" t="s">
        <v>562</v>
      </c>
      <c r="K12" s="11"/>
      <c r="L12" s="12"/>
    </row>
    <row r="13" spans="1:12" s="10" customFormat="1" ht="24.9" customHeight="1" x14ac:dyDescent="0.3">
      <c r="A13" s="632"/>
      <c r="B13" s="616"/>
      <c r="C13" s="93" t="s">
        <v>431</v>
      </c>
      <c r="D13" s="96">
        <v>45969</v>
      </c>
      <c r="E13" s="67">
        <v>45863</v>
      </c>
      <c r="F13" s="74">
        <v>5419597</v>
      </c>
      <c r="G13" s="74">
        <v>5419597</v>
      </c>
      <c r="H13" s="633" t="s">
        <v>563</v>
      </c>
      <c r="I13" s="628"/>
      <c r="K13" s="11"/>
    </row>
    <row r="14" spans="1:12" s="10" customFormat="1" ht="24.9" customHeight="1" x14ac:dyDescent="0.3">
      <c r="A14" s="632"/>
      <c r="B14" s="616"/>
      <c r="C14" s="93" t="s">
        <v>432</v>
      </c>
      <c r="D14" s="96" t="s">
        <v>433</v>
      </c>
      <c r="E14" s="67">
        <v>45870</v>
      </c>
      <c r="F14" s="74">
        <v>6104879</v>
      </c>
      <c r="G14" s="74">
        <v>6104879</v>
      </c>
      <c r="H14" s="633"/>
      <c r="I14" s="628"/>
      <c r="K14" s="11"/>
    </row>
    <row r="15" spans="1:12" s="10" customFormat="1" ht="24.9" customHeight="1" x14ac:dyDescent="0.3">
      <c r="A15" s="632"/>
      <c r="B15" s="616"/>
      <c r="C15" s="93" t="s">
        <v>434</v>
      </c>
      <c r="D15" s="93" t="s">
        <v>435</v>
      </c>
      <c r="E15" s="67" t="s">
        <v>109</v>
      </c>
      <c r="F15" s="74">
        <v>6540000</v>
      </c>
      <c r="G15" s="74">
        <v>6540000</v>
      </c>
      <c r="H15" s="633"/>
      <c r="I15" s="628"/>
      <c r="K15" s="11"/>
    </row>
    <row r="16" spans="1:12" s="10" customFormat="1" ht="24.9" customHeight="1" x14ac:dyDescent="0.3">
      <c r="A16" s="632"/>
      <c r="B16" s="616"/>
      <c r="C16" s="93" t="s">
        <v>436</v>
      </c>
      <c r="D16" s="93" t="s">
        <v>437</v>
      </c>
      <c r="E16" s="67" t="s">
        <v>55</v>
      </c>
      <c r="F16" s="74">
        <v>6541331</v>
      </c>
      <c r="G16" s="74">
        <v>6541331</v>
      </c>
      <c r="H16" s="633"/>
      <c r="I16" s="628"/>
      <c r="K16" s="11"/>
    </row>
    <row r="17" spans="1:12" s="10" customFormat="1" ht="24.9" customHeight="1" x14ac:dyDescent="0.3">
      <c r="A17" s="632"/>
      <c r="B17" s="616"/>
      <c r="C17" s="93" t="s">
        <v>438</v>
      </c>
      <c r="D17" s="93" t="s">
        <v>439</v>
      </c>
      <c r="E17" s="67" t="s">
        <v>58</v>
      </c>
      <c r="F17" s="74">
        <v>5797501</v>
      </c>
      <c r="G17" s="74">
        <v>5797501</v>
      </c>
      <c r="H17" s="633"/>
      <c r="I17" s="628"/>
      <c r="K17" s="11"/>
    </row>
    <row r="18" spans="1:12" s="10" customFormat="1" ht="24.9" customHeight="1" x14ac:dyDescent="0.3">
      <c r="A18" s="632"/>
      <c r="B18" s="616"/>
      <c r="C18" s="93" t="s">
        <v>440</v>
      </c>
      <c r="D18" s="93" t="s">
        <v>439</v>
      </c>
      <c r="E18" s="67" t="s">
        <v>60</v>
      </c>
      <c r="F18" s="74">
        <v>5783952</v>
      </c>
      <c r="G18" s="74">
        <v>5783952</v>
      </c>
      <c r="H18" s="633"/>
      <c r="I18" s="629"/>
      <c r="J18" s="12"/>
      <c r="K18" s="8"/>
    </row>
    <row r="19" spans="1:12" ht="24.9" customHeight="1" x14ac:dyDescent="0.3">
      <c r="A19" s="59"/>
      <c r="B19" s="62"/>
      <c r="C19" s="62"/>
      <c r="D19" s="62"/>
      <c r="E19" s="64" t="s">
        <v>441</v>
      </c>
      <c r="F19" s="73">
        <f>SUM(F12:F18)</f>
        <v>38974760</v>
      </c>
      <c r="G19" s="81">
        <f>SUM(G12:G18)</f>
        <v>38974760</v>
      </c>
      <c r="H19" s="62"/>
      <c r="I19" s="84"/>
      <c r="K19" s="4"/>
    </row>
    <row r="20" spans="1:12" s="10" customFormat="1" ht="24.9" customHeight="1" x14ac:dyDescent="0.3">
      <c r="A20" s="627">
        <v>4</v>
      </c>
      <c r="B20" s="630" t="s">
        <v>564</v>
      </c>
      <c r="C20" s="93" t="s">
        <v>443</v>
      </c>
      <c r="D20" s="96">
        <v>45901</v>
      </c>
      <c r="E20" s="67">
        <v>45809</v>
      </c>
      <c r="F20" s="74">
        <v>525724</v>
      </c>
      <c r="G20" s="74">
        <v>482279</v>
      </c>
      <c r="H20" s="634" t="s">
        <v>36</v>
      </c>
      <c r="I20" s="627" t="s">
        <v>565</v>
      </c>
      <c r="K20" s="11"/>
      <c r="L20" s="12"/>
    </row>
    <row r="21" spans="1:12" s="10" customFormat="1" ht="24.9" customHeight="1" x14ac:dyDescent="0.3">
      <c r="A21" s="628"/>
      <c r="B21" s="631"/>
      <c r="C21" s="93" t="s">
        <v>445</v>
      </c>
      <c r="D21" s="96">
        <v>45901</v>
      </c>
      <c r="E21" s="67">
        <v>45839</v>
      </c>
      <c r="F21" s="74">
        <v>1190856</v>
      </c>
      <c r="G21" s="74">
        <v>1167424</v>
      </c>
      <c r="H21" s="634"/>
      <c r="I21" s="628"/>
      <c r="K21" s="11"/>
      <c r="L21" s="12"/>
    </row>
    <row r="22" spans="1:12" s="10" customFormat="1" ht="24.9" customHeight="1" x14ac:dyDescent="0.3">
      <c r="A22" s="628"/>
      <c r="B22" s="631"/>
      <c r="C22" s="93" t="s">
        <v>446</v>
      </c>
      <c r="D22" s="96">
        <v>45922</v>
      </c>
      <c r="E22" s="67">
        <v>45870</v>
      </c>
      <c r="F22" s="74">
        <v>1350611</v>
      </c>
      <c r="G22" s="74">
        <v>1350611</v>
      </c>
      <c r="H22" s="634"/>
      <c r="I22" s="628"/>
      <c r="K22" s="11"/>
      <c r="L22" s="12"/>
    </row>
    <row r="23" spans="1:12" s="10" customFormat="1" ht="24.9" customHeight="1" x14ac:dyDescent="0.3">
      <c r="A23" s="628"/>
      <c r="B23" s="631"/>
      <c r="C23" s="93" t="s">
        <v>447</v>
      </c>
      <c r="D23" s="96">
        <v>45981</v>
      </c>
      <c r="E23" s="67" t="s">
        <v>448</v>
      </c>
      <c r="F23" s="74">
        <v>1671415</v>
      </c>
      <c r="G23" s="74">
        <v>1671415</v>
      </c>
      <c r="H23" s="634"/>
      <c r="I23" s="628"/>
      <c r="K23" s="11"/>
      <c r="L23" s="12"/>
    </row>
    <row r="24" spans="1:12" s="10" customFormat="1" ht="24.9" customHeight="1" x14ac:dyDescent="0.3">
      <c r="A24" s="628"/>
      <c r="B24" s="631"/>
      <c r="C24" s="93" t="s">
        <v>449</v>
      </c>
      <c r="D24" s="96">
        <v>46038</v>
      </c>
      <c r="E24" s="67" t="s">
        <v>450</v>
      </c>
      <c r="F24" s="74">
        <v>2628416</v>
      </c>
      <c r="G24" s="74">
        <v>2520186</v>
      </c>
      <c r="H24" s="634"/>
      <c r="I24" s="628"/>
      <c r="J24" s="12"/>
      <c r="K24" s="8"/>
      <c r="L24" s="12"/>
    </row>
    <row r="25" spans="1:12" s="10" customFormat="1" ht="24.9" customHeight="1" x14ac:dyDescent="0.3">
      <c r="A25" s="629"/>
      <c r="B25" s="619"/>
      <c r="C25" s="93" t="s">
        <v>451</v>
      </c>
      <c r="D25" s="96">
        <v>46057</v>
      </c>
      <c r="E25" s="67">
        <v>45992</v>
      </c>
      <c r="F25" s="74">
        <v>1028564</v>
      </c>
      <c r="G25" s="74">
        <v>1020158</v>
      </c>
      <c r="H25" s="83"/>
      <c r="I25" s="628"/>
      <c r="J25" s="12"/>
      <c r="K25" s="8"/>
      <c r="L25" s="12"/>
    </row>
    <row r="26" spans="1:12" ht="24.9" customHeight="1" x14ac:dyDescent="0.3">
      <c r="A26" s="59"/>
      <c r="B26" s="62"/>
      <c r="C26" s="62"/>
      <c r="D26" s="62"/>
      <c r="E26" s="64" t="s">
        <v>452</v>
      </c>
      <c r="F26" s="73">
        <f>SUM(F20:F25)</f>
        <v>8395586</v>
      </c>
      <c r="G26" s="81">
        <f>SUM(G20:G25)</f>
        <v>8212073</v>
      </c>
      <c r="H26" s="62"/>
      <c r="I26" s="84"/>
      <c r="K26" s="4"/>
    </row>
    <row r="27" spans="1:12" s="17" customFormat="1" ht="24.9" customHeight="1" x14ac:dyDescent="0.3">
      <c r="A27" s="627">
        <v>5</v>
      </c>
      <c r="B27" s="608" t="s">
        <v>566</v>
      </c>
      <c r="C27" s="59" t="s">
        <v>105</v>
      </c>
      <c r="D27" s="61">
        <v>46055</v>
      </c>
      <c r="E27" s="67">
        <v>45863</v>
      </c>
      <c r="F27" s="75">
        <v>840952.71</v>
      </c>
      <c r="G27" s="75">
        <v>840952.71</v>
      </c>
      <c r="H27" s="69"/>
      <c r="I27" s="627" t="s">
        <v>567</v>
      </c>
    </row>
    <row r="28" spans="1:12" s="10" customFormat="1" ht="24.9" customHeight="1" x14ac:dyDescent="0.3">
      <c r="A28" s="628"/>
      <c r="B28" s="609"/>
      <c r="C28" s="59" t="s">
        <v>107</v>
      </c>
      <c r="D28" s="61">
        <v>46055</v>
      </c>
      <c r="E28" s="67">
        <v>45894</v>
      </c>
      <c r="F28" s="75">
        <v>2215560.39</v>
      </c>
      <c r="G28" s="75">
        <v>2215560.39</v>
      </c>
      <c r="H28" s="59" t="s">
        <v>121</v>
      </c>
      <c r="I28" s="628"/>
      <c r="K28" s="11"/>
    </row>
    <row r="29" spans="1:12" s="11" customFormat="1" ht="24.9" customHeight="1" x14ac:dyDescent="0.3">
      <c r="A29" s="628"/>
      <c r="B29" s="609"/>
      <c r="C29" s="59" t="s">
        <v>108</v>
      </c>
      <c r="D29" s="61">
        <v>46055</v>
      </c>
      <c r="E29" s="67" t="s">
        <v>109</v>
      </c>
      <c r="F29" s="75">
        <v>4084336.95</v>
      </c>
      <c r="G29" s="75">
        <v>4084336.95</v>
      </c>
      <c r="H29" s="59"/>
      <c r="I29" s="628"/>
    </row>
    <row r="30" spans="1:12" s="11" customFormat="1" ht="24.9" customHeight="1" x14ac:dyDescent="0.3">
      <c r="A30" s="628"/>
      <c r="B30" s="609"/>
      <c r="C30" s="59" t="s">
        <v>110</v>
      </c>
      <c r="D30" s="61">
        <v>46070</v>
      </c>
      <c r="E30" s="67" t="s">
        <v>55</v>
      </c>
      <c r="F30" s="72">
        <v>5703517</v>
      </c>
      <c r="G30" s="72">
        <v>5703517</v>
      </c>
      <c r="H30" s="59"/>
      <c r="I30" s="628"/>
    </row>
    <row r="31" spans="1:12" s="11" customFormat="1" ht="24.9" customHeight="1" x14ac:dyDescent="0.3">
      <c r="A31" s="628"/>
      <c r="B31" s="609"/>
      <c r="C31" s="59" t="s">
        <v>111</v>
      </c>
      <c r="D31" s="61">
        <v>46070</v>
      </c>
      <c r="E31" s="67" t="s">
        <v>58</v>
      </c>
      <c r="F31" s="72">
        <v>5685511</v>
      </c>
      <c r="G31" s="72">
        <v>5668850</v>
      </c>
      <c r="H31" s="59"/>
      <c r="I31" s="628"/>
    </row>
    <row r="32" spans="1:12" s="11" customFormat="1" ht="24.9" customHeight="1" x14ac:dyDescent="0.3">
      <c r="A32" s="628"/>
      <c r="B32" s="609"/>
      <c r="C32" s="59" t="s">
        <v>112</v>
      </c>
      <c r="D32" s="61">
        <v>46070</v>
      </c>
      <c r="E32" s="67" t="s">
        <v>60</v>
      </c>
      <c r="F32" s="72">
        <v>5687393</v>
      </c>
      <c r="G32" s="72">
        <v>5687393</v>
      </c>
      <c r="H32" s="59"/>
      <c r="I32" s="628"/>
    </row>
    <row r="33" spans="1:11" s="11" customFormat="1" ht="24.9" customHeight="1" x14ac:dyDescent="0.3">
      <c r="A33" s="629"/>
      <c r="B33" s="610"/>
      <c r="C33" s="59" t="s">
        <v>113</v>
      </c>
      <c r="D33" s="61">
        <v>46070</v>
      </c>
      <c r="E33" s="67">
        <v>46023</v>
      </c>
      <c r="F33" s="72">
        <v>5711580</v>
      </c>
      <c r="G33" s="72">
        <v>5711580</v>
      </c>
      <c r="H33" s="59"/>
      <c r="I33" s="629"/>
    </row>
    <row r="34" spans="1:11" ht="24.9" customHeight="1" thickBot="1" x14ac:dyDescent="0.35">
      <c r="A34" s="88"/>
      <c r="B34" s="98"/>
      <c r="C34" s="88"/>
      <c r="D34" s="88"/>
      <c r="E34" s="99" t="s">
        <v>455</v>
      </c>
      <c r="F34" s="100">
        <f>SUM(F27:F33)</f>
        <v>29928851.050000001</v>
      </c>
      <c r="G34" s="101">
        <f>SUM(G27:G33)</f>
        <v>29912190.050000001</v>
      </c>
      <c r="H34" s="98"/>
      <c r="I34" s="114"/>
      <c r="K34" s="4"/>
    </row>
    <row r="35" spans="1:11" ht="24.9" customHeight="1" thickTop="1" thickBot="1" x14ac:dyDescent="0.35">
      <c r="A35" s="115"/>
      <c r="B35" s="116"/>
      <c r="C35" s="117" t="s">
        <v>568</v>
      </c>
      <c r="D35" s="118"/>
      <c r="E35" s="119" t="s">
        <v>15</v>
      </c>
      <c r="F35" s="120">
        <f>F7+F11+F19+F26+F34</f>
        <v>97588798.049999997</v>
      </c>
      <c r="G35" s="120">
        <f>G7+G11+G19+G26+G34</f>
        <v>97388624.049999997</v>
      </c>
      <c r="H35" s="121"/>
      <c r="I35" s="122"/>
      <c r="K35" s="4"/>
    </row>
    <row r="36" spans="1:11" s="15" customFormat="1" ht="15.6" customHeight="1" thickTop="1" x14ac:dyDescent="0.3">
      <c r="A36" s="617">
        <v>6</v>
      </c>
      <c r="B36" s="619" t="s">
        <v>478</v>
      </c>
      <c r="C36" s="102" t="s">
        <v>479</v>
      </c>
      <c r="D36" s="102" t="s">
        <v>480</v>
      </c>
      <c r="E36" s="103" t="s">
        <v>18</v>
      </c>
      <c r="F36" s="104">
        <v>1060000</v>
      </c>
      <c r="G36" s="104">
        <v>1060000</v>
      </c>
      <c r="H36" s="104"/>
      <c r="I36" s="628" t="s">
        <v>569</v>
      </c>
      <c r="K36" s="16"/>
    </row>
    <row r="37" spans="1:11" s="10" customFormat="1" ht="33.75" customHeight="1" x14ac:dyDescent="0.3">
      <c r="A37" s="618"/>
      <c r="B37" s="615"/>
      <c r="C37" s="84" t="s">
        <v>481</v>
      </c>
      <c r="D37" s="84" t="s">
        <v>480</v>
      </c>
      <c r="E37" s="85" t="s">
        <v>482</v>
      </c>
      <c r="F37" s="87">
        <v>6722000</v>
      </c>
      <c r="G37" s="87">
        <v>6722000</v>
      </c>
      <c r="H37" s="87"/>
      <c r="I37" s="628"/>
      <c r="J37" s="12"/>
      <c r="K37" s="8"/>
    </row>
    <row r="38" spans="1:11" ht="46.8" x14ac:dyDescent="0.3">
      <c r="A38" s="113">
        <v>7</v>
      </c>
      <c r="B38" s="27" t="s">
        <v>485</v>
      </c>
      <c r="C38" s="85" t="s">
        <v>224</v>
      </c>
      <c r="D38" s="84" t="s">
        <v>385</v>
      </c>
      <c r="E38" s="85" t="s">
        <v>18</v>
      </c>
      <c r="F38" s="87">
        <v>105125</v>
      </c>
      <c r="G38" s="87">
        <v>105125</v>
      </c>
      <c r="H38" s="87"/>
      <c r="I38" s="628"/>
    </row>
    <row r="39" spans="1:11" ht="57.6" customHeight="1" x14ac:dyDescent="0.3">
      <c r="A39" s="113">
        <v>8</v>
      </c>
      <c r="B39" s="27" t="s">
        <v>492</v>
      </c>
      <c r="C39" s="85" t="s">
        <v>224</v>
      </c>
      <c r="D39" s="84" t="s">
        <v>336</v>
      </c>
      <c r="E39" s="85" t="s">
        <v>482</v>
      </c>
      <c r="F39" s="86">
        <v>116820000</v>
      </c>
      <c r="G39" s="86">
        <v>116820000</v>
      </c>
      <c r="H39" s="84"/>
      <c r="I39" s="629"/>
    </row>
    <row r="40" spans="1:11" ht="97.5" customHeight="1" x14ac:dyDescent="0.3">
      <c r="A40" s="113">
        <v>9</v>
      </c>
      <c r="B40" s="27" t="s">
        <v>489</v>
      </c>
      <c r="C40" s="85" t="s">
        <v>222</v>
      </c>
      <c r="D40" s="84" t="s">
        <v>490</v>
      </c>
      <c r="E40" s="85" t="s">
        <v>18</v>
      </c>
      <c r="F40" s="87">
        <v>8470</v>
      </c>
      <c r="G40" s="87">
        <v>8470</v>
      </c>
      <c r="I40" s="19" t="s">
        <v>570</v>
      </c>
    </row>
  </sheetData>
  <mergeCells count="22">
    <mergeCell ref="A1:I1"/>
    <mergeCell ref="H3:H7"/>
    <mergeCell ref="A8:A10"/>
    <mergeCell ref="B3:B6"/>
    <mergeCell ref="A3:A6"/>
    <mergeCell ref="I3:I6"/>
    <mergeCell ref="I8:I10"/>
    <mergeCell ref="B8:B10"/>
    <mergeCell ref="I12:I18"/>
    <mergeCell ref="I20:I25"/>
    <mergeCell ref="I27:I33"/>
    <mergeCell ref="A27:A33"/>
    <mergeCell ref="I36:I39"/>
    <mergeCell ref="B27:B33"/>
    <mergeCell ref="B20:B25"/>
    <mergeCell ref="A36:A37"/>
    <mergeCell ref="B36:B37"/>
    <mergeCell ref="A12:A18"/>
    <mergeCell ref="B12:B18"/>
    <mergeCell ref="H13:H18"/>
    <mergeCell ref="H20:H24"/>
    <mergeCell ref="A20:A25"/>
  </mergeCells>
  <pageMargins left="0.23622047244094491" right="0.27559055118110237" top="0.39370078740157483" bottom="0.15748031496062992" header="0.31496062992125984" footer="0.31496062992125984"/>
  <pageSetup scale="75" orientation="portrait" r:id="rId1"/>
  <rowBreaks count="1" manualBreakCount="1">
    <brk id="35"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E05B-12D9-4476-A36E-F18560D26595}">
  <sheetPr>
    <pageSetUpPr fitToPage="1"/>
  </sheetPr>
  <dimension ref="A1:L46"/>
  <sheetViews>
    <sheetView zoomScale="70" zoomScaleNormal="70" zoomScaleSheetLayoutView="85" workbookViewId="0">
      <pane ySplit="1" topLeftCell="A2" activePane="bottomLeft" state="frozen"/>
      <selection pane="bottomLeft" activeCell="C37" sqref="A37:XFD41"/>
    </sheetView>
  </sheetViews>
  <sheetFormatPr defaultColWidth="8.6640625" defaultRowHeight="15" x14ac:dyDescent="0.3"/>
  <cols>
    <col min="1" max="1" width="5.5546875" style="4" customWidth="1"/>
    <col min="2" max="2" width="30.5546875" style="5" customWidth="1"/>
    <col min="3" max="3" width="20.88671875" style="5" customWidth="1"/>
    <col min="4" max="4" width="14.109375" style="5" customWidth="1"/>
    <col min="5" max="5" width="19.5546875" style="4" customWidth="1"/>
    <col min="6" max="6" width="17.5546875" style="4" customWidth="1"/>
    <col min="7" max="7" width="16.88671875" style="4" customWidth="1"/>
    <col min="8" max="8" width="110.88671875" style="5" hidden="1" customWidth="1"/>
    <col min="9" max="9" width="29.5546875" style="5" customWidth="1"/>
    <col min="10" max="10" width="15.44140625" style="5" bestFit="1" customWidth="1"/>
    <col min="11" max="11" width="8" style="5" bestFit="1" customWidth="1"/>
    <col min="12" max="12" width="18.33203125" style="5" customWidth="1"/>
    <col min="13" max="16384" width="8.6640625" style="5"/>
  </cols>
  <sheetData>
    <row r="1" spans="1:12" ht="15.6" x14ac:dyDescent="0.3">
      <c r="A1" s="635" t="s">
        <v>571</v>
      </c>
      <c r="B1" s="635"/>
      <c r="C1" s="635"/>
      <c r="D1" s="635"/>
      <c r="E1" s="635"/>
      <c r="F1" s="635"/>
      <c r="G1" s="635"/>
      <c r="H1" s="635"/>
      <c r="I1" s="635"/>
    </row>
    <row r="2" spans="1:12" s="10" customFormat="1" ht="42.6" customHeight="1" x14ac:dyDescent="0.3">
      <c r="A2" s="18" t="s">
        <v>4</v>
      </c>
      <c r="B2" s="57" t="s">
        <v>5</v>
      </c>
      <c r="C2" s="58" t="s">
        <v>554</v>
      </c>
      <c r="D2" s="58" t="s">
        <v>7</v>
      </c>
      <c r="E2" s="58" t="s">
        <v>8</v>
      </c>
      <c r="F2" s="58" t="s">
        <v>555</v>
      </c>
      <c r="G2" s="58" t="s">
        <v>556</v>
      </c>
      <c r="H2" s="58" t="s">
        <v>14</v>
      </c>
      <c r="I2" s="58" t="s">
        <v>557</v>
      </c>
    </row>
    <row r="3" spans="1:12" ht="21" customHeight="1" x14ac:dyDescent="0.3">
      <c r="A3" s="614">
        <v>1</v>
      </c>
      <c r="B3" s="615" t="s">
        <v>381</v>
      </c>
      <c r="C3" s="93" t="s">
        <v>398</v>
      </c>
      <c r="D3" s="93" t="s">
        <v>399</v>
      </c>
      <c r="E3" s="93" t="s">
        <v>58</v>
      </c>
      <c r="F3" s="74">
        <v>1877746</v>
      </c>
      <c r="G3" s="74">
        <v>1877746</v>
      </c>
      <c r="H3" s="636"/>
      <c r="I3" s="84"/>
      <c r="L3" s="6"/>
    </row>
    <row r="4" spans="1:12" s="4" customFormat="1" ht="22.5" customHeight="1" x14ac:dyDescent="0.3">
      <c r="A4" s="614"/>
      <c r="B4" s="615"/>
      <c r="C4" s="93" t="s">
        <v>400</v>
      </c>
      <c r="D4" s="93" t="s">
        <v>336</v>
      </c>
      <c r="E4" s="93" t="s">
        <v>60</v>
      </c>
      <c r="F4" s="74">
        <v>1877746</v>
      </c>
      <c r="G4" s="74">
        <v>1877746</v>
      </c>
      <c r="H4" s="636"/>
      <c r="I4" s="85"/>
      <c r="L4" s="7"/>
    </row>
    <row r="5" spans="1:12" ht="21" customHeight="1" x14ac:dyDescent="0.3">
      <c r="A5" s="614"/>
      <c r="B5" s="615"/>
      <c r="C5" s="93" t="s">
        <v>401</v>
      </c>
      <c r="D5" s="93" t="s">
        <v>402</v>
      </c>
      <c r="E5" s="93" t="s">
        <v>114</v>
      </c>
      <c r="F5" s="74">
        <v>1877746</v>
      </c>
      <c r="G5" s="74">
        <v>1877746</v>
      </c>
      <c r="H5" s="636"/>
      <c r="I5" s="84"/>
      <c r="L5" s="6"/>
    </row>
    <row r="6" spans="1:12" ht="21" customHeight="1" x14ac:dyDescent="0.3">
      <c r="A6" s="614"/>
      <c r="B6" s="615"/>
      <c r="C6" s="93" t="s">
        <v>403</v>
      </c>
      <c r="D6" s="93" t="s">
        <v>404</v>
      </c>
      <c r="E6" s="93" t="s">
        <v>117</v>
      </c>
      <c r="F6" s="74">
        <v>1877746</v>
      </c>
      <c r="G6" s="74">
        <v>1877746</v>
      </c>
      <c r="H6" s="636"/>
      <c r="I6" s="84"/>
      <c r="L6" s="6"/>
    </row>
    <row r="7" spans="1:12" ht="24.9" customHeight="1" x14ac:dyDescent="0.3">
      <c r="A7" s="614"/>
      <c r="B7" s="615"/>
      <c r="E7" s="64" t="s">
        <v>408</v>
      </c>
      <c r="F7" s="73">
        <f>SUM(F3:F6)</f>
        <v>7510984</v>
      </c>
      <c r="G7" s="73">
        <f>SUM(G3:G6)</f>
        <v>7510984</v>
      </c>
      <c r="H7" s="636"/>
      <c r="I7" s="84"/>
      <c r="L7" s="6"/>
    </row>
    <row r="8" spans="1:12" s="10" customFormat="1" ht="31.5" customHeight="1" x14ac:dyDescent="0.3">
      <c r="A8" s="32">
        <v>2</v>
      </c>
      <c r="B8" s="23" t="s">
        <v>409</v>
      </c>
      <c r="C8" s="23"/>
      <c r="D8" s="23"/>
      <c r="E8" s="32"/>
      <c r="F8" s="71"/>
      <c r="G8" s="79"/>
      <c r="H8" s="34"/>
      <c r="I8" s="89"/>
      <c r="K8" s="11"/>
    </row>
    <row r="9" spans="1:12" ht="24.9" customHeight="1" x14ac:dyDescent="0.3">
      <c r="A9" s="632"/>
      <c r="B9" s="615" t="s">
        <v>410</v>
      </c>
      <c r="C9" s="93" t="s">
        <v>414</v>
      </c>
      <c r="D9" s="93" t="s">
        <v>415</v>
      </c>
      <c r="E9" s="67" t="s">
        <v>55</v>
      </c>
      <c r="F9" s="94">
        <v>4005406</v>
      </c>
      <c r="G9" s="95">
        <v>4005406</v>
      </c>
      <c r="H9" s="83"/>
      <c r="I9" s="84"/>
      <c r="K9" s="4"/>
      <c r="L9" s="6"/>
    </row>
    <row r="10" spans="1:12" ht="27.6" customHeight="1" x14ac:dyDescent="0.3">
      <c r="A10" s="632"/>
      <c r="B10" s="615"/>
      <c r="C10" s="93" t="s">
        <v>417</v>
      </c>
      <c r="D10" s="93" t="s">
        <v>415</v>
      </c>
      <c r="E10" s="67" t="s">
        <v>58</v>
      </c>
      <c r="F10" s="94">
        <v>4246022</v>
      </c>
      <c r="G10" s="95">
        <v>4246022</v>
      </c>
      <c r="H10" s="83"/>
      <c r="I10" s="84"/>
      <c r="J10" s="3"/>
      <c r="K10" s="7"/>
      <c r="L10" s="6"/>
    </row>
    <row r="11" spans="1:12" ht="27.6" customHeight="1" x14ac:dyDescent="0.3">
      <c r="A11" s="19"/>
      <c r="B11" s="27"/>
      <c r="C11" s="93" t="s">
        <v>418</v>
      </c>
      <c r="D11" s="93" t="s">
        <v>419</v>
      </c>
      <c r="E11" s="67" t="s">
        <v>60</v>
      </c>
      <c r="F11" s="94">
        <v>4527189</v>
      </c>
      <c r="G11" s="95">
        <v>4527189</v>
      </c>
      <c r="H11" s="83"/>
      <c r="I11" s="84"/>
      <c r="J11" s="3"/>
      <c r="K11" s="7"/>
      <c r="L11" s="6"/>
    </row>
    <row r="12" spans="1:12" ht="27.6" customHeight="1" x14ac:dyDescent="0.3">
      <c r="A12" s="19"/>
      <c r="B12" s="27"/>
      <c r="C12" s="66"/>
      <c r="D12" s="66"/>
      <c r="E12" s="64" t="s">
        <v>420</v>
      </c>
      <c r="F12" s="73">
        <f>SUM(F9:F11)</f>
        <v>12778617</v>
      </c>
      <c r="G12" s="80">
        <f>SUM(G9:G11)</f>
        <v>12778617</v>
      </c>
      <c r="H12" s="62"/>
      <c r="I12" s="84"/>
      <c r="J12" s="3"/>
      <c r="K12" s="7"/>
      <c r="L12" s="6"/>
    </row>
    <row r="13" spans="1:12" s="10" customFormat="1" ht="32.25" customHeight="1" x14ac:dyDescent="0.3">
      <c r="A13" s="632">
        <v>3</v>
      </c>
      <c r="B13" s="616" t="s">
        <v>572</v>
      </c>
      <c r="C13" s="93" t="s">
        <v>430</v>
      </c>
      <c r="D13" s="96" t="s">
        <v>423</v>
      </c>
      <c r="E13" s="67">
        <v>45833</v>
      </c>
      <c r="F13" s="74">
        <v>2787500</v>
      </c>
      <c r="G13" s="74">
        <v>2787500</v>
      </c>
      <c r="H13" s="83" t="s">
        <v>76</v>
      </c>
      <c r="I13" s="89"/>
      <c r="K13" s="11"/>
      <c r="L13" s="12"/>
    </row>
    <row r="14" spans="1:12" s="10" customFormat="1" ht="24.9" customHeight="1" x14ac:dyDescent="0.3">
      <c r="A14" s="632"/>
      <c r="B14" s="616"/>
      <c r="C14" s="93" t="s">
        <v>431</v>
      </c>
      <c r="D14" s="96">
        <v>45969</v>
      </c>
      <c r="E14" s="67">
        <v>45863</v>
      </c>
      <c r="F14" s="74">
        <v>5419597</v>
      </c>
      <c r="G14" s="74">
        <v>5419597</v>
      </c>
      <c r="H14" s="633" t="s">
        <v>563</v>
      </c>
      <c r="I14" s="89"/>
      <c r="K14" s="11"/>
    </row>
    <row r="15" spans="1:12" s="10" customFormat="1" ht="24.9" customHeight="1" x14ac:dyDescent="0.3">
      <c r="A15" s="632"/>
      <c r="B15" s="616"/>
      <c r="C15" s="93" t="s">
        <v>432</v>
      </c>
      <c r="D15" s="96" t="s">
        <v>433</v>
      </c>
      <c r="E15" s="67">
        <v>45870</v>
      </c>
      <c r="F15" s="74">
        <v>6104879</v>
      </c>
      <c r="G15" s="74">
        <v>6104879</v>
      </c>
      <c r="H15" s="633"/>
      <c r="I15" s="89"/>
      <c r="K15" s="11"/>
    </row>
    <row r="16" spans="1:12" s="10" customFormat="1" ht="24.9" customHeight="1" x14ac:dyDescent="0.3">
      <c r="A16" s="632"/>
      <c r="B16" s="616"/>
      <c r="C16" s="93" t="s">
        <v>434</v>
      </c>
      <c r="D16" s="93" t="s">
        <v>435</v>
      </c>
      <c r="E16" s="67" t="s">
        <v>109</v>
      </c>
      <c r="F16" s="74">
        <v>6540000</v>
      </c>
      <c r="G16" s="74">
        <v>6540000</v>
      </c>
      <c r="H16" s="633"/>
      <c r="I16" s="89"/>
      <c r="K16" s="11"/>
    </row>
    <row r="17" spans="1:12" s="10" customFormat="1" ht="24.9" customHeight="1" x14ac:dyDescent="0.3">
      <c r="A17" s="632"/>
      <c r="B17" s="616"/>
      <c r="C17" s="93" t="s">
        <v>436</v>
      </c>
      <c r="D17" s="93" t="s">
        <v>437</v>
      </c>
      <c r="E17" s="67" t="s">
        <v>55</v>
      </c>
      <c r="F17" s="74">
        <v>6541331</v>
      </c>
      <c r="G17" s="74">
        <v>6541331</v>
      </c>
      <c r="H17" s="633"/>
      <c r="I17" s="89"/>
      <c r="K17" s="11"/>
    </row>
    <row r="18" spans="1:12" s="10" customFormat="1" ht="24.9" customHeight="1" x14ac:dyDescent="0.3">
      <c r="A18" s="632"/>
      <c r="B18" s="616"/>
      <c r="C18" s="93" t="s">
        <v>438</v>
      </c>
      <c r="D18" s="93" t="s">
        <v>439</v>
      </c>
      <c r="E18" s="67" t="s">
        <v>58</v>
      </c>
      <c r="F18" s="74">
        <v>5797501</v>
      </c>
      <c r="G18" s="74">
        <v>5797501</v>
      </c>
      <c r="H18" s="633"/>
      <c r="I18" s="89"/>
      <c r="K18" s="11"/>
    </row>
    <row r="19" spans="1:12" s="10" customFormat="1" ht="24.9" customHeight="1" x14ac:dyDescent="0.3">
      <c r="A19" s="632"/>
      <c r="B19" s="616"/>
      <c r="C19" s="93" t="s">
        <v>440</v>
      </c>
      <c r="D19" s="93" t="s">
        <v>439</v>
      </c>
      <c r="E19" s="67" t="s">
        <v>60</v>
      </c>
      <c r="F19" s="74">
        <v>5783952</v>
      </c>
      <c r="G19" s="74">
        <v>5783952</v>
      </c>
      <c r="H19" s="633"/>
      <c r="I19" s="89"/>
      <c r="J19" s="12"/>
      <c r="K19" s="8"/>
    </row>
    <row r="20" spans="1:12" ht="24.9" customHeight="1" x14ac:dyDescent="0.3">
      <c r="A20" s="59"/>
      <c r="B20" s="62"/>
      <c r="C20" s="62"/>
      <c r="D20" s="62"/>
      <c r="E20" s="64" t="s">
        <v>441</v>
      </c>
      <c r="F20" s="73">
        <f>SUM(F13:F19)</f>
        <v>38974760</v>
      </c>
      <c r="G20" s="81">
        <f>SUM(G13:G19)</f>
        <v>38974760</v>
      </c>
      <c r="H20" s="62"/>
      <c r="I20" s="84"/>
      <c r="K20" s="4"/>
    </row>
    <row r="21" spans="1:12" s="10" customFormat="1" ht="24.9" customHeight="1" x14ac:dyDescent="0.3">
      <c r="A21" s="632">
        <v>4</v>
      </c>
      <c r="B21" s="615" t="s">
        <v>573</v>
      </c>
      <c r="C21" s="93" t="s">
        <v>443</v>
      </c>
      <c r="D21" s="96">
        <v>45901</v>
      </c>
      <c r="E21" s="67">
        <v>45809</v>
      </c>
      <c r="F21" s="74">
        <v>525724</v>
      </c>
      <c r="G21" s="74">
        <v>482279</v>
      </c>
      <c r="H21" s="634" t="s">
        <v>36</v>
      </c>
      <c r="I21" s="89"/>
      <c r="K21" s="11"/>
      <c r="L21" s="12"/>
    </row>
    <row r="22" spans="1:12" s="10" customFormat="1" ht="24.9" customHeight="1" x14ac:dyDescent="0.3">
      <c r="A22" s="632"/>
      <c r="B22" s="615"/>
      <c r="C22" s="93" t="s">
        <v>445</v>
      </c>
      <c r="D22" s="96">
        <v>45901</v>
      </c>
      <c r="E22" s="67">
        <v>45839</v>
      </c>
      <c r="F22" s="74">
        <v>1190856</v>
      </c>
      <c r="G22" s="74">
        <v>1167424</v>
      </c>
      <c r="H22" s="634"/>
      <c r="I22" s="89"/>
      <c r="K22" s="11"/>
      <c r="L22" s="12"/>
    </row>
    <row r="23" spans="1:12" s="10" customFormat="1" ht="24.9" customHeight="1" x14ac:dyDescent="0.3">
      <c r="A23" s="632"/>
      <c r="B23" s="615"/>
      <c r="C23" s="93" t="s">
        <v>446</v>
      </c>
      <c r="D23" s="96">
        <v>45922</v>
      </c>
      <c r="E23" s="67">
        <v>45870</v>
      </c>
      <c r="F23" s="74">
        <v>1350611</v>
      </c>
      <c r="G23" s="74">
        <v>1350611</v>
      </c>
      <c r="H23" s="634"/>
      <c r="I23" s="89"/>
      <c r="K23" s="11"/>
      <c r="L23" s="12"/>
    </row>
    <row r="24" spans="1:12" s="10" customFormat="1" ht="24.9" customHeight="1" x14ac:dyDescent="0.3">
      <c r="A24" s="632"/>
      <c r="B24" s="615"/>
      <c r="C24" s="93" t="s">
        <v>447</v>
      </c>
      <c r="D24" s="96">
        <v>45981</v>
      </c>
      <c r="E24" s="67" t="s">
        <v>448</v>
      </c>
      <c r="F24" s="74">
        <v>1671415</v>
      </c>
      <c r="G24" s="74">
        <v>1671415</v>
      </c>
      <c r="H24" s="634"/>
      <c r="I24" s="89"/>
      <c r="K24" s="11"/>
      <c r="L24" s="12"/>
    </row>
    <row r="25" spans="1:12" s="10" customFormat="1" ht="24.9" customHeight="1" x14ac:dyDescent="0.3">
      <c r="A25" s="632"/>
      <c r="B25" s="615"/>
      <c r="C25" s="93" t="s">
        <v>449</v>
      </c>
      <c r="D25" s="96">
        <v>46038</v>
      </c>
      <c r="E25" s="67" t="s">
        <v>450</v>
      </c>
      <c r="F25" s="74">
        <v>2628416</v>
      </c>
      <c r="G25" s="74">
        <v>2520186</v>
      </c>
      <c r="H25" s="634"/>
      <c r="I25" s="89"/>
      <c r="J25" s="12"/>
      <c r="K25" s="8"/>
      <c r="L25" s="12"/>
    </row>
    <row r="26" spans="1:12" s="10" customFormat="1" ht="24.9" customHeight="1" x14ac:dyDescent="0.3">
      <c r="A26" s="59"/>
      <c r="B26" s="63"/>
      <c r="C26" s="93" t="s">
        <v>451</v>
      </c>
      <c r="D26" s="96">
        <v>46057</v>
      </c>
      <c r="E26" s="67">
        <v>45992</v>
      </c>
      <c r="F26" s="74">
        <v>1028564</v>
      </c>
      <c r="G26" s="74">
        <v>1020158</v>
      </c>
      <c r="H26" s="83"/>
      <c r="I26" s="89"/>
      <c r="J26" s="12"/>
      <c r="K26" s="8"/>
      <c r="L26" s="12"/>
    </row>
    <row r="27" spans="1:12" ht="24.9" customHeight="1" x14ac:dyDescent="0.3">
      <c r="A27" s="59"/>
      <c r="B27" s="62"/>
      <c r="C27" s="62"/>
      <c r="D27" s="62"/>
      <c r="E27" s="64" t="s">
        <v>452</v>
      </c>
      <c r="F27" s="73">
        <f>SUM(F21:F26)</f>
        <v>8395586</v>
      </c>
      <c r="G27" s="81">
        <f>SUM(G21:G26)</f>
        <v>8212073</v>
      </c>
      <c r="H27" s="62"/>
      <c r="I27" s="84"/>
      <c r="K27" s="4"/>
    </row>
    <row r="28" spans="1:12" s="17" customFormat="1" ht="24.9" customHeight="1" x14ac:dyDescent="0.3">
      <c r="A28" s="632">
        <v>5</v>
      </c>
      <c r="B28" s="615" t="s">
        <v>453</v>
      </c>
      <c r="C28" s="59" t="s">
        <v>105</v>
      </c>
      <c r="D28" s="61">
        <v>46055</v>
      </c>
      <c r="E28" s="67">
        <v>45863</v>
      </c>
      <c r="F28" s="75">
        <v>840952.71</v>
      </c>
      <c r="G28" s="75">
        <v>840952.71</v>
      </c>
      <c r="H28" s="69"/>
      <c r="I28" s="90"/>
    </row>
    <row r="29" spans="1:12" s="10" customFormat="1" ht="24.9" customHeight="1" x14ac:dyDescent="0.3">
      <c r="A29" s="632"/>
      <c r="B29" s="615"/>
      <c r="C29" s="59" t="s">
        <v>107</v>
      </c>
      <c r="D29" s="61">
        <v>46055</v>
      </c>
      <c r="E29" s="67">
        <v>45894</v>
      </c>
      <c r="F29" s="75">
        <v>2215560.39</v>
      </c>
      <c r="G29" s="75">
        <v>2215560.39</v>
      </c>
      <c r="H29" s="59" t="s">
        <v>121</v>
      </c>
      <c r="I29" s="89"/>
      <c r="K29" s="11"/>
    </row>
    <row r="30" spans="1:12" s="11" customFormat="1" ht="24.9" customHeight="1" x14ac:dyDescent="0.3">
      <c r="A30" s="632"/>
      <c r="B30" s="615"/>
      <c r="C30" s="59" t="s">
        <v>108</v>
      </c>
      <c r="D30" s="61">
        <v>46055</v>
      </c>
      <c r="E30" s="67" t="s">
        <v>109</v>
      </c>
      <c r="F30" s="75">
        <v>4084336.95</v>
      </c>
      <c r="G30" s="75">
        <v>4084336.95</v>
      </c>
      <c r="H30" s="59"/>
      <c r="I30" s="91"/>
    </row>
    <row r="31" spans="1:12" s="11" customFormat="1" ht="24.9" customHeight="1" x14ac:dyDescent="0.3">
      <c r="A31" s="19"/>
      <c r="B31" s="21"/>
      <c r="C31" s="59" t="s">
        <v>110</v>
      </c>
      <c r="D31" s="61">
        <v>46070</v>
      </c>
      <c r="E31" s="67" t="s">
        <v>55</v>
      </c>
      <c r="F31" s="72">
        <v>5703517</v>
      </c>
      <c r="G31" s="72">
        <v>5703517</v>
      </c>
      <c r="H31" s="59"/>
      <c r="I31" s="91"/>
    </row>
    <row r="32" spans="1:12" s="11" customFormat="1" ht="24.9" customHeight="1" x14ac:dyDescent="0.3">
      <c r="A32" s="19"/>
      <c r="B32" s="21"/>
      <c r="C32" s="59" t="s">
        <v>111</v>
      </c>
      <c r="D32" s="61">
        <v>46070</v>
      </c>
      <c r="E32" s="67" t="s">
        <v>58</v>
      </c>
      <c r="F32" s="72">
        <v>5685511</v>
      </c>
      <c r="G32" s="72">
        <v>5668850</v>
      </c>
      <c r="H32" s="59"/>
      <c r="I32" s="91"/>
    </row>
    <row r="33" spans="1:11" s="11" customFormat="1" ht="24.9" customHeight="1" x14ac:dyDescent="0.3">
      <c r="A33" s="19"/>
      <c r="B33" s="21"/>
      <c r="C33" s="59" t="s">
        <v>112</v>
      </c>
      <c r="D33" s="61">
        <v>46070</v>
      </c>
      <c r="E33" s="67" t="s">
        <v>60</v>
      </c>
      <c r="F33" s="72">
        <v>5687393</v>
      </c>
      <c r="G33" s="72">
        <v>5687393</v>
      </c>
      <c r="H33" s="59"/>
      <c r="I33" s="91"/>
    </row>
    <row r="34" spans="1:11" s="11" customFormat="1" ht="24.9" customHeight="1" x14ac:dyDescent="0.3">
      <c r="A34" s="19"/>
      <c r="B34" s="21"/>
      <c r="C34" s="59" t="s">
        <v>113</v>
      </c>
      <c r="D34" s="61">
        <v>46070</v>
      </c>
      <c r="E34" s="67">
        <v>46023</v>
      </c>
      <c r="F34" s="72">
        <v>5711580</v>
      </c>
      <c r="G34" s="72">
        <v>5711580</v>
      </c>
      <c r="H34" s="59"/>
      <c r="I34" s="91"/>
    </row>
    <row r="35" spans="1:11" ht="24.9" customHeight="1" thickBot="1" x14ac:dyDescent="0.35">
      <c r="A35" s="88"/>
      <c r="B35" s="98"/>
      <c r="C35" s="88"/>
      <c r="D35" s="88"/>
      <c r="E35" s="99" t="s">
        <v>455</v>
      </c>
      <c r="F35" s="100">
        <f>SUM(F28:F34)</f>
        <v>29928851.050000001</v>
      </c>
      <c r="G35" s="101">
        <f>SUM(G28:G34)</f>
        <v>29912190.050000001</v>
      </c>
      <c r="H35" s="62"/>
      <c r="I35" s="111"/>
      <c r="K35" s="4"/>
    </row>
    <row r="36" spans="1:11" ht="24.9" customHeight="1" thickBot="1" x14ac:dyDescent="0.35">
      <c r="A36" s="105"/>
      <c r="B36" s="106"/>
      <c r="C36" s="107" t="s">
        <v>568</v>
      </c>
      <c r="D36" s="108"/>
      <c r="E36" s="109" t="s">
        <v>15</v>
      </c>
      <c r="F36" s="110">
        <f>F7+F12+F20+F27+F35</f>
        <v>97588798.049999997</v>
      </c>
      <c r="G36" s="110">
        <f>G7+G12+G20+G27+G35</f>
        <v>97388624.049999997</v>
      </c>
      <c r="H36" s="97"/>
      <c r="I36" s="111"/>
      <c r="K36" s="4"/>
    </row>
    <row r="37" spans="1:11" s="15" customFormat="1" ht="15.6" x14ac:dyDescent="0.3">
      <c r="A37" s="617">
        <v>6</v>
      </c>
      <c r="B37" s="619" t="s">
        <v>478</v>
      </c>
      <c r="C37" s="102" t="s">
        <v>479</v>
      </c>
      <c r="D37" s="102" t="s">
        <v>480</v>
      </c>
      <c r="E37" s="103" t="s">
        <v>18</v>
      </c>
      <c r="F37" s="104">
        <v>1060000</v>
      </c>
      <c r="G37" s="104">
        <v>1060000</v>
      </c>
      <c r="H37" s="87"/>
      <c r="I37" s="92"/>
      <c r="K37" s="16"/>
    </row>
    <row r="38" spans="1:11" s="10" customFormat="1" ht="33.75" customHeight="1" x14ac:dyDescent="0.3">
      <c r="A38" s="618"/>
      <c r="B38" s="615"/>
      <c r="C38" s="84" t="s">
        <v>481</v>
      </c>
      <c r="D38" s="84" t="s">
        <v>480</v>
      </c>
      <c r="E38" s="85" t="s">
        <v>482</v>
      </c>
      <c r="F38" s="87">
        <v>6722000</v>
      </c>
      <c r="G38" s="87">
        <v>6722000</v>
      </c>
      <c r="H38" s="87"/>
      <c r="I38" s="89"/>
      <c r="J38" s="12"/>
      <c r="K38" s="8"/>
    </row>
    <row r="39" spans="1:11" ht="31.2" x14ac:dyDescent="0.3">
      <c r="A39" s="85">
        <v>7</v>
      </c>
      <c r="B39" s="27" t="s">
        <v>485</v>
      </c>
      <c r="C39" s="85" t="s">
        <v>224</v>
      </c>
      <c r="D39" s="84" t="s">
        <v>385</v>
      </c>
      <c r="E39" s="85" t="s">
        <v>18</v>
      </c>
      <c r="F39" s="87">
        <v>105125</v>
      </c>
      <c r="G39" s="87">
        <v>105125</v>
      </c>
      <c r="H39" s="87"/>
      <c r="I39" s="84"/>
    </row>
    <row r="40" spans="1:11" ht="46.8" x14ac:dyDescent="0.3">
      <c r="A40" s="85">
        <v>8</v>
      </c>
      <c r="B40" s="27" t="s">
        <v>489</v>
      </c>
      <c r="C40" s="85" t="s">
        <v>222</v>
      </c>
      <c r="D40" s="84" t="s">
        <v>490</v>
      </c>
      <c r="E40" s="85" t="s">
        <v>18</v>
      </c>
      <c r="F40" s="87">
        <v>8470</v>
      </c>
      <c r="G40" s="87">
        <v>8470</v>
      </c>
      <c r="H40" s="87"/>
      <c r="I40" s="85" t="s">
        <v>574</v>
      </c>
    </row>
    <row r="41" spans="1:11" ht="46.8" x14ac:dyDescent="0.3">
      <c r="A41" s="85">
        <v>9</v>
      </c>
      <c r="B41" s="27" t="s">
        <v>492</v>
      </c>
      <c r="C41" s="85" t="s">
        <v>224</v>
      </c>
      <c r="D41" s="84" t="s">
        <v>336</v>
      </c>
      <c r="E41" s="85" t="s">
        <v>482</v>
      </c>
      <c r="F41" s="86">
        <v>116820000</v>
      </c>
      <c r="G41" s="86">
        <v>116820000</v>
      </c>
      <c r="H41" s="84"/>
      <c r="I41" s="84"/>
    </row>
    <row r="43" spans="1:11" x14ac:dyDescent="0.3">
      <c r="F43" s="4">
        <v>12800000</v>
      </c>
    </row>
    <row r="44" spans="1:11" x14ac:dyDescent="0.3">
      <c r="F44" s="4">
        <v>6400000</v>
      </c>
    </row>
    <row r="45" spans="1:11" x14ac:dyDescent="0.3">
      <c r="F45" s="4">
        <v>7534000</v>
      </c>
    </row>
    <row r="46" spans="1:11" x14ac:dyDescent="0.3">
      <c r="F46" s="4">
        <v>1231600</v>
      </c>
    </row>
  </sheetData>
  <mergeCells count="16">
    <mergeCell ref="B37:B38"/>
    <mergeCell ref="A37:A38"/>
    <mergeCell ref="A21:A25"/>
    <mergeCell ref="B21:B25"/>
    <mergeCell ref="H21:H25"/>
    <mergeCell ref="A28:A30"/>
    <mergeCell ref="B28:B30"/>
    <mergeCell ref="A13:A19"/>
    <mergeCell ref="B13:B19"/>
    <mergeCell ref="H14:H19"/>
    <mergeCell ref="A1:I1"/>
    <mergeCell ref="A3:A7"/>
    <mergeCell ref="B3:B7"/>
    <mergeCell ref="H3:H7"/>
    <mergeCell ref="A9:A10"/>
    <mergeCell ref="B9:B10"/>
  </mergeCells>
  <pageMargins left="0.23622047244094491" right="0.27559055118110237" top="0.39370078740157483" bottom="0.15748031496062992" header="0.31496062992125984" footer="0.31496062992125984"/>
  <pageSetup scale="6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B3581-DC60-435C-9842-F43DEC535BCB}">
  <sheetPr>
    <pageSetUpPr fitToPage="1"/>
  </sheetPr>
  <dimension ref="A1:L59"/>
  <sheetViews>
    <sheetView view="pageBreakPreview" zoomScale="70" zoomScaleNormal="100" zoomScaleSheetLayoutView="70" workbookViewId="0">
      <selection activeCell="F20" sqref="F20"/>
    </sheetView>
  </sheetViews>
  <sheetFormatPr defaultColWidth="8.6640625" defaultRowHeight="15" x14ac:dyDescent="0.3"/>
  <cols>
    <col min="1" max="1" width="5.5546875" style="4" customWidth="1"/>
    <col min="2" max="2" width="25.109375" style="5" customWidth="1"/>
    <col min="3" max="3" width="20.88671875" style="5" customWidth="1"/>
    <col min="4" max="4" width="14.109375" style="5" customWidth="1"/>
    <col min="5" max="5" width="21.44140625" style="4" customWidth="1"/>
    <col min="6" max="7" width="22.109375" style="4" customWidth="1"/>
    <col min="8" max="8" width="40.33203125" style="5" customWidth="1"/>
    <col min="9" max="9" width="8.6640625" style="5" customWidth="1"/>
    <col min="10" max="10" width="13.5546875" style="5" hidden="1" customWidth="1"/>
    <col min="11" max="11" width="11.109375" style="5" hidden="1" customWidth="1"/>
    <col min="12" max="12" width="0.44140625" style="5" customWidth="1"/>
    <col min="13" max="16384" width="8.6640625" style="5"/>
  </cols>
  <sheetData>
    <row r="1" spans="1:12" ht="15.6" x14ac:dyDescent="0.3">
      <c r="A1" s="651" t="s">
        <v>575</v>
      </c>
      <c r="B1" s="651"/>
      <c r="C1" s="651"/>
      <c r="D1" s="651"/>
      <c r="E1" s="651"/>
      <c r="F1" s="651"/>
      <c r="G1" s="14"/>
    </row>
    <row r="2" spans="1:12" s="10" customFormat="1" ht="42.6" customHeight="1" x14ac:dyDescent="0.3">
      <c r="A2" s="18" t="s">
        <v>4</v>
      </c>
      <c r="B2" s="28" t="s">
        <v>5</v>
      </c>
      <c r="C2" s="18" t="s">
        <v>554</v>
      </c>
      <c r="D2" s="18" t="s">
        <v>7</v>
      </c>
      <c r="E2" s="18" t="s">
        <v>8</v>
      </c>
      <c r="F2" s="18" t="s">
        <v>576</v>
      </c>
      <c r="G2" s="18" t="s">
        <v>121</v>
      </c>
      <c r="H2" s="18" t="s">
        <v>14</v>
      </c>
    </row>
    <row r="3" spans="1:12" ht="21" customHeight="1" x14ac:dyDescent="0.3">
      <c r="A3" s="608">
        <v>1</v>
      </c>
      <c r="B3" s="630" t="s">
        <v>577</v>
      </c>
      <c r="C3" s="19" t="s">
        <v>382</v>
      </c>
      <c r="D3" s="19" t="s">
        <v>383</v>
      </c>
      <c r="E3" s="20">
        <v>45717</v>
      </c>
      <c r="F3" s="29">
        <v>1877746</v>
      </c>
      <c r="G3" s="29" t="s">
        <v>458</v>
      </c>
      <c r="H3" s="627" t="s">
        <v>535</v>
      </c>
      <c r="L3" s="6">
        <f>F3/10000000</f>
        <v>0.18777460000000001</v>
      </c>
    </row>
    <row r="4" spans="1:12" s="4" customFormat="1" ht="22.5" customHeight="1" x14ac:dyDescent="0.3">
      <c r="A4" s="609"/>
      <c r="B4" s="631"/>
      <c r="C4" s="19" t="s">
        <v>386</v>
      </c>
      <c r="D4" s="25">
        <v>45906</v>
      </c>
      <c r="E4" s="20">
        <v>45748</v>
      </c>
      <c r="F4" s="29">
        <v>1877746</v>
      </c>
      <c r="G4" s="29" t="s">
        <v>458</v>
      </c>
      <c r="H4" s="628"/>
      <c r="L4" s="7">
        <f t="shared" ref="L4:L7" si="0">F4/10000000</f>
        <v>0.18777460000000001</v>
      </c>
    </row>
    <row r="5" spans="1:12" ht="21" customHeight="1" x14ac:dyDescent="0.3">
      <c r="A5" s="609"/>
      <c r="B5" s="631"/>
      <c r="C5" s="19" t="s">
        <v>387</v>
      </c>
      <c r="D5" s="20">
        <v>45778</v>
      </c>
      <c r="E5" s="20">
        <v>45778</v>
      </c>
      <c r="F5" s="29">
        <v>1621686</v>
      </c>
      <c r="G5" s="29" t="s">
        <v>458</v>
      </c>
      <c r="H5" s="628"/>
      <c r="L5" s="6">
        <f t="shared" si="0"/>
        <v>0.1621686</v>
      </c>
    </row>
    <row r="6" spans="1:12" ht="24.9" customHeight="1" x14ac:dyDescent="0.3">
      <c r="A6" s="609"/>
      <c r="B6" s="631"/>
      <c r="C6" s="19" t="s">
        <v>388</v>
      </c>
      <c r="D6" s="20">
        <v>45809</v>
      </c>
      <c r="E6" s="20">
        <v>45809</v>
      </c>
      <c r="F6" s="29">
        <v>2133806</v>
      </c>
      <c r="G6" s="29" t="s">
        <v>458</v>
      </c>
      <c r="H6" s="628"/>
      <c r="L6" s="6">
        <f t="shared" si="0"/>
        <v>0.2133806</v>
      </c>
    </row>
    <row r="7" spans="1:12" ht="23.4" customHeight="1" x14ac:dyDescent="0.3">
      <c r="A7" s="609"/>
      <c r="B7" s="631"/>
      <c r="C7" s="19" t="s">
        <v>389</v>
      </c>
      <c r="D7" s="20">
        <v>45839</v>
      </c>
      <c r="E7" s="20">
        <v>45839</v>
      </c>
      <c r="F7" s="29">
        <v>2084246</v>
      </c>
      <c r="G7" s="29" t="s">
        <v>458</v>
      </c>
      <c r="H7" s="629"/>
      <c r="L7" s="6">
        <f t="shared" si="0"/>
        <v>0.20842459999999999</v>
      </c>
    </row>
    <row r="8" spans="1:12" ht="24.9" customHeight="1" x14ac:dyDescent="0.3">
      <c r="A8" s="609"/>
      <c r="B8" s="631"/>
      <c r="C8" s="19" t="s">
        <v>390</v>
      </c>
      <c r="D8" s="19" t="s">
        <v>391</v>
      </c>
      <c r="E8" s="20">
        <v>45870</v>
      </c>
      <c r="F8" s="29" t="s">
        <v>458</v>
      </c>
      <c r="G8" s="29">
        <v>2133806</v>
      </c>
      <c r="H8" s="645" t="s">
        <v>578</v>
      </c>
      <c r="L8" s="6">
        <f>G8/10000000</f>
        <v>0.2133806</v>
      </c>
    </row>
    <row r="9" spans="1:12" ht="24.9" customHeight="1" x14ac:dyDescent="0.3">
      <c r="A9" s="609"/>
      <c r="B9" s="631"/>
      <c r="C9" s="19" t="s">
        <v>393</v>
      </c>
      <c r="D9" s="19" t="s">
        <v>394</v>
      </c>
      <c r="E9" s="20" t="s">
        <v>109</v>
      </c>
      <c r="F9" s="29" t="s">
        <v>458</v>
      </c>
      <c r="G9" s="29">
        <v>2133806</v>
      </c>
      <c r="H9" s="646"/>
      <c r="L9" s="6">
        <f>G9/10000000</f>
        <v>0.2133806</v>
      </c>
    </row>
    <row r="10" spans="1:12" ht="24.9" customHeight="1" x14ac:dyDescent="0.3">
      <c r="A10" s="609"/>
      <c r="B10" s="631"/>
      <c r="C10" s="19" t="s">
        <v>395</v>
      </c>
      <c r="D10" s="19" t="s">
        <v>396</v>
      </c>
      <c r="E10" s="20" t="s">
        <v>397</v>
      </c>
      <c r="F10" s="29" t="s">
        <v>458</v>
      </c>
      <c r="G10" s="29">
        <v>2133807</v>
      </c>
      <c r="H10" s="647"/>
      <c r="J10" s="6"/>
      <c r="L10" s="6">
        <f>G10/10000000</f>
        <v>0.21338070000000001</v>
      </c>
    </row>
    <row r="11" spans="1:12" ht="30.9" customHeight="1" x14ac:dyDescent="0.3">
      <c r="A11" s="610"/>
      <c r="B11" s="619"/>
      <c r="C11" s="19" t="s">
        <v>405</v>
      </c>
      <c r="D11" s="19" t="s">
        <v>406</v>
      </c>
      <c r="E11" s="20" t="s">
        <v>407</v>
      </c>
      <c r="F11" s="29" t="s">
        <v>458</v>
      </c>
      <c r="G11" s="29">
        <v>3657952</v>
      </c>
      <c r="H11" s="21" t="s">
        <v>579</v>
      </c>
      <c r="J11" s="9">
        <f>SUM(F3:F11)</f>
        <v>9595230</v>
      </c>
      <c r="K11" s="8">
        <f>J11/10000000</f>
        <v>0.95952300000000001</v>
      </c>
      <c r="L11" s="6">
        <f>G11/10000000</f>
        <v>0.36579519999999999</v>
      </c>
    </row>
    <row r="12" spans="1:12" s="10" customFormat="1" ht="24.9" customHeight="1" x14ac:dyDescent="0.3">
      <c r="A12" s="21"/>
      <c r="B12" s="21"/>
      <c r="C12" s="27"/>
      <c r="D12" s="27"/>
      <c r="E12" s="30" t="s">
        <v>465</v>
      </c>
      <c r="F12" s="31">
        <f>SUM(F3:F11)</f>
        <v>9595230</v>
      </c>
      <c r="G12" s="31">
        <f>SUM(G3:G11)</f>
        <v>10059371</v>
      </c>
      <c r="H12" s="21"/>
      <c r="K12" s="11"/>
    </row>
    <row r="13" spans="1:12" s="10" customFormat="1" ht="31.5" customHeight="1" x14ac:dyDescent="0.3">
      <c r="A13" s="32">
        <v>2</v>
      </c>
      <c r="B13" s="23" t="s">
        <v>409</v>
      </c>
      <c r="C13" s="23"/>
      <c r="D13" s="23"/>
      <c r="E13" s="32"/>
      <c r="F13" s="33"/>
      <c r="G13" s="33"/>
      <c r="H13" s="34"/>
      <c r="K13" s="11"/>
    </row>
    <row r="14" spans="1:12" ht="24.9" customHeight="1" x14ac:dyDescent="0.3">
      <c r="A14" s="627"/>
      <c r="B14" s="630" t="s">
        <v>580</v>
      </c>
      <c r="C14" s="19" t="s">
        <v>308</v>
      </c>
      <c r="D14" s="19" t="s">
        <v>391</v>
      </c>
      <c r="E14" s="20" t="s">
        <v>411</v>
      </c>
      <c r="F14" s="29">
        <v>3924291.78</v>
      </c>
      <c r="G14" s="29" t="s">
        <v>458</v>
      </c>
      <c r="H14" s="639" t="s">
        <v>36</v>
      </c>
      <c r="K14" s="4"/>
      <c r="L14" s="6">
        <f>F14/10000000</f>
        <v>0.39242917799999999</v>
      </c>
    </row>
    <row r="15" spans="1:12" ht="27.6" customHeight="1" x14ac:dyDescent="0.3">
      <c r="A15" s="629"/>
      <c r="B15" s="619"/>
      <c r="C15" s="19" t="s">
        <v>412</v>
      </c>
      <c r="D15" s="19" t="s">
        <v>413</v>
      </c>
      <c r="E15" s="20" t="s">
        <v>109</v>
      </c>
      <c r="F15" s="29">
        <v>3823238</v>
      </c>
      <c r="G15" s="29" t="s">
        <v>458</v>
      </c>
      <c r="H15" s="641"/>
      <c r="J15" s="3">
        <f>SUM(F14:F15)</f>
        <v>7747529.7799999993</v>
      </c>
      <c r="K15" s="7">
        <f>J15/10000000</f>
        <v>0.77475297799999998</v>
      </c>
      <c r="L15" s="6">
        <f>F15/10000000</f>
        <v>0.38232379999999999</v>
      </c>
    </row>
    <row r="16" spans="1:12" s="10" customFormat="1" ht="24.9" customHeight="1" x14ac:dyDescent="0.3">
      <c r="A16" s="19"/>
      <c r="B16" s="35"/>
      <c r="C16" s="36"/>
      <c r="D16" s="36"/>
      <c r="E16" s="30" t="s">
        <v>581</v>
      </c>
      <c r="F16" s="31">
        <f>SUM(F14:F15)</f>
        <v>7747529.7799999993</v>
      </c>
      <c r="G16" s="31">
        <f>SUM(G14:G15)</f>
        <v>0</v>
      </c>
      <c r="H16" s="21"/>
      <c r="K16" s="11"/>
    </row>
    <row r="17" spans="1:12" s="10" customFormat="1" ht="30" customHeight="1" x14ac:dyDescent="0.3">
      <c r="A17" s="627"/>
      <c r="B17" s="630" t="s">
        <v>582</v>
      </c>
      <c r="C17" s="19" t="s">
        <v>422</v>
      </c>
      <c r="D17" s="19" t="s">
        <v>423</v>
      </c>
      <c r="E17" s="20">
        <v>45833</v>
      </c>
      <c r="F17" s="29">
        <v>385250</v>
      </c>
      <c r="G17" s="29" t="s">
        <v>458</v>
      </c>
      <c r="H17" s="639" t="s">
        <v>36</v>
      </c>
      <c r="K17" s="11"/>
      <c r="L17" s="12">
        <f>F17/10000000</f>
        <v>3.8524999999999997E-2</v>
      </c>
    </row>
    <row r="18" spans="1:12" s="10" customFormat="1" ht="31.5" customHeight="1" x14ac:dyDescent="0.3">
      <c r="A18" s="628"/>
      <c r="B18" s="631"/>
      <c r="C18" s="19" t="s">
        <v>424</v>
      </c>
      <c r="D18" s="25">
        <v>45877</v>
      </c>
      <c r="E18" s="20">
        <v>45863</v>
      </c>
      <c r="F18" s="29">
        <v>1382176</v>
      </c>
      <c r="G18" s="29" t="s">
        <v>458</v>
      </c>
      <c r="H18" s="640"/>
      <c r="K18" s="11"/>
      <c r="L18" s="12">
        <f t="shared" ref="L18:L20" si="1">F18/10000000</f>
        <v>0.1382176</v>
      </c>
    </row>
    <row r="19" spans="1:12" s="10" customFormat="1" ht="35.1" customHeight="1" x14ac:dyDescent="0.3">
      <c r="A19" s="628"/>
      <c r="B19" s="631"/>
      <c r="C19" s="19" t="s">
        <v>425</v>
      </c>
      <c r="D19" s="25">
        <v>45878</v>
      </c>
      <c r="E19" s="20">
        <v>45870</v>
      </c>
      <c r="F19" s="29">
        <v>2007096.77</v>
      </c>
      <c r="G19" s="29" t="s">
        <v>458</v>
      </c>
      <c r="H19" s="640"/>
      <c r="I19" s="12"/>
      <c r="K19" s="11"/>
      <c r="L19" s="12">
        <f t="shared" si="1"/>
        <v>0.200709677</v>
      </c>
    </row>
    <row r="20" spans="1:12" s="10" customFormat="1" ht="39.9" customHeight="1" x14ac:dyDescent="0.3">
      <c r="A20" s="629"/>
      <c r="B20" s="619"/>
      <c r="C20" s="19" t="s">
        <v>426</v>
      </c>
      <c r="D20" s="19" t="s">
        <v>427</v>
      </c>
      <c r="E20" s="20" t="s">
        <v>109</v>
      </c>
      <c r="F20" s="29">
        <v>2456750</v>
      </c>
      <c r="G20" s="29" t="s">
        <v>458</v>
      </c>
      <c r="H20" s="641"/>
      <c r="I20" s="12"/>
      <c r="J20" s="12">
        <f>SUM(F17:F20)</f>
        <v>6231272.7699999996</v>
      </c>
      <c r="K20" s="8">
        <f>J20/10000000</f>
        <v>0.62312727699999992</v>
      </c>
      <c r="L20" s="12">
        <f t="shared" si="1"/>
        <v>0.245675</v>
      </c>
    </row>
    <row r="21" spans="1:12" ht="24.9" customHeight="1" x14ac:dyDescent="0.3">
      <c r="A21" s="19"/>
      <c r="B21" s="21"/>
      <c r="C21" s="21"/>
      <c r="D21" s="21"/>
      <c r="E21" s="30" t="s">
        <v>583</v>
      </c>
      <c r="F21" s="31">
        <f>SUM(F17:F20)</f>
        <v>6231272.7699999996</v>
      </c>
      <c r="G21" s="31">
        <f>SUM(G17:G20)</f>
        <v>0</v>
      </c>
      <c r="H21" s="21"/>
      <c r="K21" s="4"/>
    </row>
    <row r="22" spans="1:12" s="10" customFormat="1" ht="32.25" customHeight="1" x14ac:dyDescent="0.3">
      <c r="A22" s="627"/>
      <c r="B22" s="648" t="s">
        <v>429</v>
      </c>
      <c r="C22" s="19" t="s">
        <v>430</v>
      </c>
      <c r="D22" s="37" t="s">
        <v>423</v>
      </c>
      <c r="E22" s="38">
        <v>45833</v>
      </c>
      <c r="F22" s="39" t="s">
        <v>458</v>
      </c>
      <c r="G22" s="40">
        <v>2795000</v>
      </c>
      <c r="H22" s="41" t="s">
        <v>76</v>
      </c>
      <c r="K22" s="11"/>
      <c r="L22" s="12">
        <f>G22/10000000</f>
        <v>0.27950000000000003</v>
      </c>
    </row>
    <row r="23" spans="1:12" s="10" customFormat="1" ht="24.9" customHeight="1" x14ac:dyDescent="0.3">
      <c r="A23" s="628"/>
      <c r="B23" s="649"/>
      <c r="C23" s="19" t="s">
        <v>431</v>
      </c>
      <c r="D23" s="42">
        <v>45969</v>
      </c>
      <c r="E23" s="38">
        <v>45863</v>
      </c>
      <c r="F23" s="43">
        <v>5419597</v>
      </c>
      <c r="G23" s="21"/>
      <c r="H23" s="637" t="s">
        <v>563</v>
      </c>
      <c r="K23" s="11"/>
    </row>
    <row r="24" spans="1:12" s="10" customFormat="1" ht="24.9" customHeight="1" x14ac:dyDescent="0.3">
      <c r="A24" s="628"/>
      <c r="B24" s="649"/>
      <c r="C24" s="19" t="s">
        <v>432</v>
      </c>
      <c r="D24" s="42" t="s">
        <v>433</v>
      </c>
      <c r="E24" s="38">
        <v>45870</v>
      </c>
      <c r="F24" s="43">
        <v>6104879</v>
      </c>
      <c r="G24" s="21"/>
      <c r="H24" s="637"/>
      <c r="K24" s="11"/>
    </row>
    <row r="25" spans="1:12" s="10" customFormat="1" ht="24.9" customHeight="1" x14ac:dyDescent="0.3">
      <c r="A25" s="628"/>
      <c r="B25" s="649"/>
      <c r="C25" s="19" t="s">
        <v>434</v>
      </c>
      <c r="D25" s="19" t="s">
        <v>435</v>
      </c>
      <c r="E25" s="20" t="s">
        <v>109</v>
      </c>
      <c r="F25" s="44" t="s">
        <v>458</v>
      </c>
      <c r="G25" s="40">
        <v>6540000</v>
      </c>
      <c r="H25" s="637"/>
      <c r="K25" s="11"/>
    </row>
    <row r="26" spans="1:12" s="10" customFormat="1" ht="24.9" customHeight="1" x14ac:dyDescent="0.3">
      <c r="A26" s="628"/>
      <c r="B26" s="649"/>
      <c r="C26" s="19" t="s">
        <v>436</v>
      </c>
      <c r="D26" s="19" t="s">
        <v>437</v>
      </c>
      <c r="E26" s="20" t="s">
        <v>55</v>
      </c>
      <c r="F26" s="44" t="s">
        <v>458</v>
      </c>
      <c r="G26" s="40">
        <v>6541331</v>
      </c>
      <c r="H26" s="637"/>
      <c r="K26" s="11"/>
    </row>
    <row r="27" spans="1:12" s="10" customFormat="1" ht="24.9" customHeight="1" x14ac:dyDescent="0.3">
      <c r="A27" s="628"/>
      <c r="B27" s="649"/>
      <c r="C27" s="19" t="s">
        <v>438</v>
      </c>
      <c r="D27" s="19" t="s">
        <v>439</v>
      </c>
      <c r="E27" s="20" t="s">
        <v>58</v>
      </c>
      <c r="F27" s="45">
        <v>5797501</v>
      </c>
      <c r="G27" s="21"/>
      <c r="H27" s="637"/>
      <c r="K27" s="11"/>
    </row>
    <row r="28" spans="1:12" s="10" customFormat="1" ht="24.9" customHeight="1" x14ac:dyDescent="0.3">
      <c r="A28" s="629"/>
      <c r="B28" s="650"/>
      <c r="C28" s="19" t="s">
        <v>440</v>
      </c>
      <c r="D28" s="19" t="s">
        <v>439</v>
      </c>
      <c r="E28" s="20" t="s">
        <v>60</v>
      </c>
      <c r="F28" s="45">
        <v>5783952</v>
      </c>
      <c r="G28" s="21"/>
      <c r="H28" s="638"/>
      <c r="J28" s="12">
        <f>SUM(F22:F28)</f>
        <v>23105929</v>
      </c>
      <c r="K28" s="8">
        <f>J28/10000000</f>
        <v>2.3105929000000001</v>
      </c>
    </row>
    <row r="29" spans="1:12" ht="24.9" customHeight="1" x14ac:dyDescent="0.3">
      <c r="A29" s="19"/>
      <c r="B29" s="21"/>
      <c r="C29" s="21"/>
      <c r="D29" s="21"/>
      <c r="E29" s="30" t="s">
        <v>584</v>
      </c>
      <c r="F29" s="31">
        <f>SUM(F22:F28)</f>
        <v>23105929</v>
      </c>
      <c r="G29" s="33">
        <f>SUM(G22:G28)</f>
        <v>15876331</v>
      </c>
      <c r="H29" s="21"/>
      <c r="K29" s="4"/>
    </row>
    <row r="30" spans="1:12" s="10" customFormat="1" ht="24.9" customHeight="1" x14ac:dyDescent="0.3">
      <c r="A30" s="627"/>
      <c r="B30" s="630" t="s">
        <v>573</v>
      </c>
      <c r="C30" s="46" t="s">
        <v>443</v>
      </c>
      <c r="D30" s="46" t="s">
        <v>585</v>
      </c>
      <c r="E30" s="20">
        <v>45809</v>
      </c>
      <c r="F30" s="29">
        <v>525724</v>
      </c>
      <c r="G30" s="29" t="s">
        <v>458</v>
      </c>
      <c r="H30" s="639" t="s">
        <v>36</v>
      </c>
      <c r="K30" s="11"/>
      <c r="L30" s="12">
        <f>F30/10000000</f>
        <v>5.2572399999999998E-2</v>
      </c>
    </row>
    <row r="31" spans="1:12" s="10" customFormat="1" ht="24.9" customHeight="1" x14ac:dyDescent="0.3">
      <c r="A31" s="628"/>
      <c r="B31" s="631"/>
      <c r="C31" s="19" t="s">
        <v>445</v>
      </c>
      <c r="D31" s="25">
        <v>45666</v>
      </c>
      <c r="E31" s="20">
        <v>45839</v>
      </c>
      <c r="F31" s="29">
        <v>1190856</v>
      </c>
      <c r="G31" s="29" t="s">
        <v>458</v>
      </c>
      <c r="H31" s="640"/>
      <c r="K31" s="11"/>
      <c r="L31" s="12">
        <f t="shared" ref="L31:L34" si="2">F31/10000000</f>
        <v>0.1190856</v>
      </c>
    </row>
    <row r="32" spans="1:12" s="10" customFormat="1" ht="24.9" customHeight="1" x14ac:dyDescent="0.3">
      <c r="A32" s="628"/>
      <c r="B32" s="631"/>
      <c r="C32" s="19" t="s">
        <v>446</v>
      </c>
      <c r="D32" s="19" t="s">
        <v>586</v>
      </c>
      <c r="E32" s="20">
        <v>45870</v>
      </c>
      <c r="F32" s="29">
        <v>1350611</v>
      </c>
      <c r="G32" s="29" t="s">
        <v>458</v>
      </c>
      <c r="H32" s="640"/>
      <c r="K32" s="11"/>
      <c r="L32" s="12">
        <f t="shared" si="2"/>
        <v>0.13506109999999999</v>
      </c>
    </row>
    <row r="33" spans="1:12" s="10" customFormat="1" ht="24.9" customHeight="1" x14ac:dyDescent="0.3">
      <c r="A33" s="628"/>
      <c r="B33" s="631"/>
      <c r="C33" s="19" t="s">
        <v>447</v>
      </c>
      <c r="D33" s="19" t="s">
        <v>587</v>
      </c>
      <c r="E33" s="38" t="s">
        <v>448</v>
      </c>
      <c r="F33" s="47">
        <v>1671415</v>
      </c>
      <c r="G33" s="29" t="s">
        <v>458</v>
      </c>
      <c r="H33" s="640"/>
      <c r="K33" s="11"/>
      <c r="L33" s="12">
        <f t="shared" si="2"/>
        <v>0.1671415</v>
      </c>
    </row>
    <row r="34" spans="1:12" s="10" customFormat="1" ht="24.9" customHeight="1" x14ac:dyDescent="0.3">
      <c r="A34" s="629"/>
      <c r="B34" s="619"/>
      <c r="C34" s="19" t="s">
        <v>449</v>
      </c>
      <c r="D34" s="39" t="s">
        <v>449</v>
      </c>
      <c r="E34" s="38" t="s">
        <v>450</v>
      </c>
      <c r="F34" s="29">
        <v>2628416</v>
      </c>
      <c r="G34" s="29" t="s">
        <v>458</v>
      </c>
      <c r="H34" s="641"/>
      <c r="J34" s="12">
        <f>SUM(F30:F34)</f>
        <v>7367022</v>
      </c>
      <c r="K34" s="8">
        <f>J34/10000000</f>
        <v>0.73670219999999997</v>
      </c>
      <c r="L34" s="12">
        <f t="shared" si="2"/>
        <v>0.26284160000000001</v>
      </c>
    </row>
    <row r="35" spans="1:12" ht="24.9" customHeight="1" x14ac:dyDescent="0.3">
      <c r="A35" s="19"/>
      <c r="B35" s="21"/>
      <c r="C35" s="21"/>
      <c r="D35" s="21"/>
      <c r="E35" s="30" t="s">
        <v>441</v>
      </c>
      <c r="F35" s="31">
        <f>SUM(F30:F34)</f>
        <v>7367022</v>
      </c>
      <c r="G35" s="29">
        <f>SUM(G30:G34)</f>
        <v>0</v>
      </c>
      <c r="H35" s="21"/>
      <c r="K35" s="4"/>
    </row>
    <row r="36" spans="1:12" s="10" customFormat="1" ht="51.9" customHeight="1" x14ac:dyDescent="0.3">
      <c r="A36" s="19"/>
      <c r="B36" s="21" t="s">
        <v>588</v>
      </c>
      <c r="C36" s="21"/>
      <c r="D36" s="21"/>
      <c r="E36" s="20" t="s">
        <v>458</v>
      </c>
      <c r="F36" s="29" t="s">
        <v>458</v>
      </c>
      <c r="G36" s="29" t="s">
        <v>458</v>
      </c>
      <c r="H36" s="22" t="s">
        <v>36</v>
      </c>
      <c r="K36" s="11"/>
    </row>
    <row r="37" spans="1:12" ht="24.9" customHeight="1" x14ac:dyDescent="0.3">
      <c r="A37" s="19"/>
      <c r="B37" s="21"/>
      <c r="C37" s="21"/>
      <c r="D37" s="21"/>
      <c r="E37" s="30" t="s">
        <v>589</v>
      </c>
      <c r="F37" s="31">
        <f>SUM(F36)</f>
        <v>0</v>
      </c>
      <c r="G37" s="31">
        <f>SUM(G36)</f>
        <v>0</v>
      </c>
      <c r="H37" s="21"/>
      <c r="K37" s="4"/>
    </row>
    <row r="38" spans="1:12" s="17" customFormat="1" ht="24.9" customHeight="1" x14ac:dyDescent="0.3">
      <c r="A38" s="627">
        <v>1</v>
      </c>
      <c r="B38" s="645" t="s">
        <v>453</v>
      </c>
      <c r="C38" s="19" t="s">
        <v>105</v>
      </c>
      <c r="D38" s="48">
        <v>46055</v>
      </c>
      <c r="E38" s="20">
        <v>45863</v>
      </c>
      <c r="F38" s="49">
        <v>0</v>
      </c>
      <c r="G38" s="29">
        <v>840952.71</v>
      </c>
      <c r="H38" s="50"/>
    </row>
    <row r="39" spans="1:12" s="10" customFormat="1" ht="24.9" customHeight="1" x14ac:dyDescent="0.3">
      <c r="A39" s="628"/>
      <c r="B39" s="646"/>
      <c r="C39" s="19" t="s">
        <v>107</v>
      </c>
      <c r="D39" s="25">
        <v>46055</v>
      </c>
      <c r="E39" s="20">
        <v>45894</v>
      </c>
      <c r="F39" s="29">
        <v>0</v>
      </c>
      <c r="G39" s="29">
        <v>2215560.39</v>
      </c>
      <c r="H39" s="19" t="s">
        <v>121</v>
      </c>
      <c r="K39" s="11"/>
    </row>
    <row r="40" spans="1:12" s="11" customFormat="1" ht="24.9" customHeight="1" x14ac:dyDescent="0.3">
      <c r="A40" s="629"/>
      <c r="B40" s="647"/>
      <c r="C40" s="19" t="s">
        <v>108</v>
      </c>
      <c r="D40" s="25">
        <v>46055</v>
      </c>
      <c r="E40" s="20" t="s">
        <v>109</v>
      </c>
      <c r="F40" s="29">
        <v>0</v>
      </c>
      <c r="G40" s="29">
        <v>4084336.95</v>
      </c>
      <c r="H40" s="19"/>
    </row>
    <row r="41" spans="1:12" ht="24.9" customHeight="1" x14ac:dyDescent="0.3">
      <c r="A41" s="19"/>
      <c r="B41" s="21"/>
      <c r="C41" s="19"/>
      <c r="D41" s="19"/>
      <c r="E41" s="51" t="s">
        <v>452</v>
      </c>
      <c r="F41" s="31">
        <f>SUM(F38:F40)</f>
        <v>0</v>
      </c>
      <c r="G41" s="31">
        <f>SUM(G38:G40)</f>
        <v>7140850.0500000007</v>
      </c>
      <c r="H41" s="21"/>
      <c r="K41" s="4"/>
    </row>
    <row r="42" spans="1:12" s="15" customFormat="1" ht="24.9" customHeight="1" x14ac:dyDescent="0.3">
      <c r="A42" s="30"/>
      <c r="B42" s="27"/>
      <c r="C42" s="27"/>
      <c r="D42" s="27"/>
      <c r="E42" s="51" t="s">
        <v>590</v>
      </c>
      <c r="F42" s="31">
        <f>+F16+F21+F29+F35+F41</f>
        <v>44451753.549999997</v>
      </c>
      <c r="G42" s="31">
        <f>+G16+G21+G29+G35+G41</f>
        <v>23017181.050000001</v>
      </c>
      <c r="H42" s="27"/>
      <c r="K42" s="16"/>
    </row>
    <row r="43" spans="1:12" s="15" customFormat="1" ht="46.8" x14ac:dyDescent="0.3">
      <c r="A43" s="32">
        <v>3</v>
      </c>
      <c r="B43" s="23" t="s">
        <v>456</v>
      </c>
      <c r="C43" s="52"/>
      <c r="D43" s="23"/>
      <c r="E43" s="53"/>
      <c r="F43" s="33"/>
      <c r="G43" s="33"/>
      <c r="H43" s="54"/>
      <c r="K43" s="16"/>
    </row>
    <row r="44" spans="1:12" s="10" customFormat="1" ht="21.6" customHeight="1" x14ac:dyDescent="0.3">
      <c r="A44" s="627"/>
      <c r="B44" s="630" t="s">
        <v>591</v>
      </c>
      <c r="C44" s="24" t="s">
        <v>168</v>
      </c>
      <c r="D44" s="25">
        <v>45937</v>
      </c>
      <c r="E44" s="19" t="s">
        <v>458</v>
      </c>
      <c r="F44" s="29">
        <v>1925783.6</v>
      </c>
      <c r="G44" s="29" t="s">
        <v>458</v>
      </c>
      <c r="H44" s="645" t="s">
        <v>169</v>
      </c>
      <c r="J44" s="12" t="e">
        <f>#REF!</f>
        <v>#REF!</v>
      </c>
      <c r="K44" s="8" t="e">
        <f>J44/10000000</f>
        <v>#REF!</v>
      </c>
    </row>
    <row r="45" spans="1:12" s="10" customFormat="1" ht="21.6" customHeight="1" x14ac:dyDescent="0.3">
      <c r="A45" s="628"/>
      <c r="B45" s="631"/>
      <c r="C45" s="39" t="s">
        <v>170</v>
      </c>
      <c r="D45" s="25">
        <v>45937</v>
      </c>
      <c r="E45" s="19" t="s">
        <v>458</v>
      </c>
      <c r="F45" s="19">
        <v>358285.36</v>
      </c>
      <c r="G45" s="19" t="s">
        <v>458</v>
      </c>
      <c r="H45" s="646"/>
      <c r="J45" s="12"/>
      <c r="K45" s="8"/>
    </row>
    <row r="46" spans="1:12" s="10" customFormat="1" ht="21.6" customHeight="1" x14ac:dyDescent="0.3">
      <c r="A46" s="628"/>
      <c r="B46" s="631"/>
      <c r="C46" s="24" t="s">
        <v>171</v>
      </c>
      <c r="D46" s="25">
        <v>45937</v>
      </c>
      <c r="E46" s="19" t="s">
        <v>458</v>
      </c>
      <c r="F46" s="19">
        <v>358285.36</v>
      </c>
      <c r="G46" s="19" t="s">
        <v>458</v>
      </c>
      <c r="H46" s="646"/>
      <c r="J46" s="12"/>
      <c r="K46" s="8"/>
    </row>
    <row r="47" spans="1:12" s="10" customFormat="1" ht="21.6" customHeight="1" x14ac:dyDescent="0.3">
      <c r="A47" s="629"/>
      <c r="B47" s="619"/>
      <c r="C47" s="24" t="s">
        <v>172</v>
      </c>
      <c r="D47" s="25">
        <v>45937</v>
      </c>
      <c r="E47" s="19" t="s">
        <v>458</v>
      </c>
      <c r="F47" s="19">
        <v>358285.36</v>
      </c>
      <c r="G47" s="19" t="s">
        <v>458</v>
      </c>
      <c r="H47" s="647"/>
      <c r="J47" s="12"/>
      <c r="K47" s="8"/>
    </row>
    <row r="48" spans="1:12" s="10" customFormat="1" ht="21.6" customHeight="1" x14ac:dyDescent="0.3">
      <c r="A48" s="30"/>
      <c r="B48" s="26"/>
      <c r="C48" s="24"/>
      <c r="D48" s="25"/>
      <c r="E48" s="30" t="s">
        <v>592</v>
      </c>
      <c r="F48" s="31">
        <f>SUM(F44:F47)</f>
        <v>3000639.6799999997</v>
      </c>
      <c r="G48" s="31">
        <f>SUM(G44:G47)</f>
        <v>0</v>
      </c>
      <c r="H48" s="21"/>
      <c r="J48" s="12"/>
      <c r="K48" s="8"/>
    </row>
    <row r="49" spans="1:12" s="10" customFormat="1" ht="62.4" x14ac:dyDescent="0.3">
      <c r="A49" s="19">
        <v>4</v>
      </c>
      <c r="B49" s="27" t="s">
        <v>593</v>
      </c>
      <c r="C49" s="27"/>
      <c r="D49" s="27"/>
      <c r="E49" s="20">
        <v>45870</v>
      </c>
      <c r="F49" s="29">
        <v>2612115</v>
      </c>
      <c r="G49" s="29" t="s">
        <v>458</v>
      </c>
      <c r="H49" s="21" t="s">
        <v>594</v>
      </c>
      <c r="J49" s="12">
        <f>F49</f>
        <v>2612115</v>
      </c>
      <c r="K49" s="8">
        <f>J49/10000000</f>
        <v>0.26121149999999999</v>
      </c>
    </row>
    <row r="50" spans="1:12" s="10" customFormat="1" ht="24.9" customHeight="1" x14ac:dyDescent="0.3">
      <c r="A50" s="35"/>
      <c r="B50" s="35"/>
      <c r="C50" s="21"/>
      <c r="D50" s="21"/>
      <c r="E50" s="30" t="s">
        <v>465</v>
      </c>
      <c r="F50" s="55">
        <f>+F49</f>
        <v>2612115</v>
      </c>
      <c r="G50" s="31">
        <f>SUM(G49)</f>
        <v>0</v>
      </c>
      <c r="H50" s="21"/>
      <c r="J50" s="12">
        <f>F52</f>
        <v>180402</v>
      </c>
      <c r="K50" s="11"/>
    </row>
    <row r="51" spans="1:12" s="10" customFormat="1" ht="24.9" customHeight="1" x14ac:dyDescent="0.3">
      <c r="A51" s="32">
        <v>5</v>
      </c>
      <c r="B51" s="23" t="s">
        <v>595</v>
      </c>
      <c r="C51" s="34"/>
      <c r="D51" s="34"/>
      <c r="E51" s="32"/>
      <c r="F51" s="33"/>
      <c r="G51" s="33"/>
      <c r="H51" s="34"/>
      <c r="J51" s="12"/>
      <c r="K51" s="11"/>
    </row>
    <row r="52" spans="1:12" s="10" customFormat="1" ht="24.9" customHeight="1" x14ac:dyDescent="0.3">
      <c r="A52" s="30"/>
      <c r="B52" s="21"/>
      <c r="C52" s="19" t="s">
        <v>458</v>
      </c>
      <c r="D52" s="21"/>
      <c r="E52" s="20" t="s">
        <v>467</v>
      </c>
      <c r="F52" s="29">
        <v>180402</v>
      </c>
      <c r="G52" s="29" t="s">
        <v>458</v>
      </c>
      <c r="H52" s="645" t="s">
        <v>169</v>
      </c>
      <c r="J52" s="12">
        <f>F53</f>
        <v>16296</v>
      </c>
      <c r="K52" s="11"/>
      <c r="L52" s="13">
        <f>F52/10000000</f>
        <v>1.8040199999999999E-2</v>
      </c>
    </row>
    <row r="53" spans="1:12" s="10" customFormat="1" ht="24.9" customHeight="1" x14ac:dyDescent="0.3">
      <c r="A53" s="30"/>
      <c r="B53" s="21"/>
      <c r="C53" s="19" t="s">
        <v>469</v>
      </c>
      <c r="D53" s="21"/>
      <c r="E53" s="20" t="s">
        <v>470</v>
      </c>
      <c r="F53" s="29">
        <v>16296</v>
      </c>
      <c r="G53" s="29" t="s">
        <v>458</v>
      </c>
      <c r="H53" s="646"/>
      <c r="J53" s="12">
        <f>F54</f>
        <v>18144</v>
      </c>
      <c r="K53" s="8">
        <f>SUM(J50:J53)/10000000</f>
        <v>2.1484199999999998E-2</v>
      </c>
      <c r="L53" s="13">
        <f>F53/10000000</f>
        <v>1.6295999999999999E-3</v>
      </c>
    </row>
    <row r="54" spans="1:12" s="10" customFormat="1" ht="24.9" customHeight="1" x14ac:dyDescent="0.3">
      <c r="A54" s="30"/>
      <c r="B54" s="21"/>
      <c r="C54" s="19" t="s">
        <v>471</v>
      </c>
      <c r="D54" s="21"/>
      <c r="E54" s="20" t="s">
        <v>472</v>
      </c>
      <c r="F54" s="29">
        <v>18144</v>
      </c>
      <c r="G54" s="29" t="s">
        <v>458</v>
      </c>
      <c r="H54" s="647"/>
      <c r="J54" s="12"/>
      <c r="K54" s="8"/>
      <c r="L54" s="13"/>
    </row>
    <row r="55" spans="1:12" s="10" customFormat="1" ht="24.9" customHeight="1" x14ac:dyDescent="0.3">
      <c r="A55" s="30"/>
      <c r="B55" s="21"/>
      <c r="C55" s="19"/>
      <c r="D55" s="21"/>
      <c r="E55" s="51" t="s">
        <v>465</v>
      </c>
      <c r="F55" s="31">
        <f>SUM(F52:F54)</f>
        <v>214842</v>
      </c>
      <c r="G55" s="31">
        <f>SUM(G52:G54)</f>
        <v>0</v>
      </c>
      <c r="H55" s="21"/>
      <c r="J55" s="12"/>
      <c r="K55" s="8"/>
      <c r="L55" s="13"/>
    </row>
    <row r="56" spans="1:12" s="10" customFormat="1" ht="31.2" x14ac:dyDescent="0.3">
      <c r="A56" s="32">
        <v>6</v>
      </c>
      <c r="B56" s="23" t="s">
        <v>473</v>
      </c>
      <c r="C56" s="56"/>
      <c r="D56" s="34"/>
      <c r="E56" s="53"/>
      <c r="F56" s="33"/>
      <c r="G56" s="33"/>
      <c r="H56" s="34"/>
      <c r="J56" s="12"/>
      <c r="K56" s="8"/>
      <c r="L56" s="13"/>
    </row>
    <row r="57" spans="1:12" s="10" customFormat="1" ht="29.4" customHeight="1" x14ac:dyDescent="0.3">
      <c r="A57" s="21"/>
      <c r="B57" s="21"/>
      <c r="C57" s="19">
        <v>20</v>
      </c>
      <c r="D57" s="21" t="s">
        <v>475</v>
      </c>
      <c r="E57" s="19"/>
      <c r="F57" s="19">
        <v>1128640</v>
      </c>
      <c r="G57" s="19" t="s">
        <v>458</v>
      </c>
      <c r="H57" s="21" t="s">
        <v>169</v>
      </c>
      <c r="J57" s="12">
        <f>F57</f>
        <v>1128640</v>
      </c>
      <c r="K57" s="8">
        <f>J57/10000000</f>
        <v>0.11286400000000001</v>
      </c>
      <c r="L57" s="13">
        <f>F54/10000000</f>
        <v>1.8144000000000001E-3</v>
      </c>
    </row>
    <row r="58" spans="1:12" s="10" customFormat="1" ht="29.4" customHeight="1" x14ac:dyDescent="0.3">
      <c r="A58" s="30"/>
      <c r="B58" s="27"/>
      <c r="C58" s="19"/>
      <c r="D58" s="21"/>
      <c r="E58" s="30" t="s">
        <v>465</v>
      </c>
      <c r="F58" s="30">
        <f>SUM(F57)</f>
        <v>1128640</v>
      </c>
      <c r="G58" s="31">
        <f>SUM(G57)</f>
        <v>0</v>
      </c>
      <c r="H58" s="21"/>
      <c r="J58" s="12"/>
      <c r="K58" s="8"/>
      <c r="L58" s="13"/>
    </row>
    <row r="59" spans="1:12" s="10" customFormat="1" ht="24.9" customHeight="1" x14ac:dyDescent="0.3">
      <c r="A59" s="642" t="s">
        <v>596</v>
      </c>
      <c r="B59" s="643"/>
      <c r="C59" s="643"/>
      <c r="D59" s="643"/>
      <c r="E59" s="644"/>
      <c r="F59" s="31">
        <f>+F12+F42+F48+F50+F55+F58</f>
        <v>61003220.229999997</v>
      </c>
      <c r="G59" s="31">
        <f>+G12+G42+G48+G50+G55+G58</f>
        <v>33076552.050000001</v>
      </c>
      <c r="H59" s="21"/>
      <c r="K59" s="8" t="e">
        <f>SUM(K4:K57)</f>
        <v>#REF!</v>
      </c>
    </row>
  </sheetData>
  <mergeCells count="24">
    <mergeCell ref="A1:F1"/>
    <mergeCell ref="H3:H7"/>
    <mergeCell ref="H8:H10"/>
    <mergeCell ref="A14:A15"/>
    <mergeCell ref="B14:B15"/>
    <mergeCell ref="H14:H15"/>
    <mergeCell ref="B3:B11"/>
    <mergeCell ref="A3:A11"/>
    <mergeCell ref="H23:H28"/>
    <mergeCell ref="H17:H20"/>
    <mergeCell ref="H30:H34"/>
    <mergeCell ref="A59:E59"/>
    <mergeCell ref="H44:H47"/>
    <mergeCell ref="H52:H54"/>
    <mergeCell ref="B17:B20"/>
    <mergeCell ref="A17:A20"/>
    <mergeCell ref="B22:B28"/>
    <mergeCell ref="A22:A28"/>
    <mergeCell ref="B30:B34"/>
    <mergeCell ref="A30:A34"/>
    <mergeCell ref="B44:B47"/>
    <mergeCell ref="A44:A47"/>
    <mergeCell ref="B38:B40"/>
    <mergeCell ref="A38:A40"/>
  </mergeCells>
  <pageMargins left="0.35433070866141736" right="0.27559055118110237" top="0.51181102362204722" bottom="0.31496062992125984" header="0.31496062992125984" footer="0.31496062992125984"/>
  <pageSetup scale="58"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B052-FB1B-403A-B63A-8BF093221B59}">
  <dimension ref="A1:L26"/>
  <sheetViews>
    <sheetView zoomScale="55" zoomScaleNormal="55" workbookViewId="0">
      <selection activeCell="G7" sqref="G7"/>
    </sheetView>
  </sheetViews>
  <sheetFormatPr defaultColWidth="9" defaultRowHeight="61.2" x14ac:dyDescent="1.05"/>
  <cols>
    <col min="1" max="1" width="30.109375" style="234" customWidth="1"/>
    <col min="2" max="2" width="23.44140625" style="234" customWidth="1"/>
    <col min="3" max="3" width="9" style="234"/>
    <col min="4" max="4" width="17" style="234" customWidth="1"/>
    <col min="5" max="5" width="9" style="234" customWidth="1"/>
    <col min="6" max="15" width="27.88671875" style="234" customWidth="1"/>
    <col min="16" max="16384" width="9" style="234"/>
  </cols>
  <sheetData>
    <row r="1" spans="1:12" ht="409.5" customHeight="1" x14ac:dyDescent="1.05">
      <c r="A1" s="652" t="s">
        <v>597</v>
      </c>
      <c r="B1" s="655" t="s">
        <v>597</v>
      </c>
    </row>
    <row r="2" spans="1:12" x14ac:dyDescent="1.05">
      <c r="A2" s="653"/>
      <c r="B2" s="656"/>
    </row>
    <row r="3" spans="1:12" ht="156.75" customHeight="1" thickBot="1" x14ac:dyDescent="1.1000000000000001">
      <c r="A3" s="654"/>
      <c r="B3" s="657"/>
    </row>
    <row r="4" spans="1:12" x14ac:dyDescent="1.05">
      <c r="E4" s="382"/>
      <c r="F4" s="382"/>
      <c r="G4" s="382"/>
      <c r="H4" s="382"/>
      <c r="I4" s="382"/>
      <c r="J4" s="382"/>
      <c r="K4" s="382"/>
      <c r="L4" s="382"/>
    </row>
    <row r="5" spans="1:12" x14ac:dyDescent="1.05">
      <c r="E5" s="382"/>
      <c r="F5" s="382">
        <v>1139128</v>
      </c>
      <c r="G5" s="383">
        <v>965363</v>
      </c>
      <c r="H5" s="383">
        <v>173765</v>
      </c>
      <c r="I5" s="382">
        <f>G5+H5</f>
        <v>1139128</v>
      </c>
      <c r="J5" s="382"/>
      <c r="K5" s="382"/>
      <c r="L5" s="382"/>
    </row>
    <row r="6" spans="1:12" x14ac:dyDescent="1.05">
      <c r="E6" s="382"/>
      <c r="F6" s="382"/>
      <c r="G6" s="382">
        <f>F5/G5</f>
        <v>1.179999647800879</v>
      </c>
      <c r="H6" s="382">
        <f>F5/H5</f>
        <v>6.5555664259200643</v>
      </c>
      <c r="I6" s="382"/>
      <c r="J6" s="382"/>
      <c r="K6" s="382"/>
      <c r="L6" s="382"/>
    </row>
    <row r="7" spans="1:12" x14ac:dyDescent="1.05">
      <c r="E7" s="382"/>
      <c r="F7" s="382">
        <v>1096935</v>
      </c>
      <c r="G7" s="383">
        <f>F7/G6</f>
        <v>929606.20966651686</v>
      </c>
      <c r="H7" s="383">
        <f>F7/H6</f>
        <v>167328.79033348316</v>
      </c>
      <c r="I7" s="382">
        <f>G7+H7</f>
        <v>1096935</v>
      </c>
      <c r="J7" s="382"/>
      <c r="K7" s="382"/>
      <c r="L7" s="382"/>
    </row>
    <row r="8" spans="1:12" x14ac:dyDescent="1.05">
      <c r="E8" s="382"/>
      <c r="F8" s="382"/>
      <c r="G8" s="382">
        <f>F7/G7</f>
        <v>1.179999647800879</v>
      </c>
      <c r="H8" s="382">
        <f>F7/H7</f>
        <v>6.5555664259200643</v>
      </c>
      <c r="I8" s="382"/>
      <c r="J8" s="382"/>
      <c r="K8" s="382"/>
      <c r="L8" s="382"/>
    </row>
    <row r="9" spans="1:12" x14ac:dyDescent="1.05">
      <c r="E9" s="382"/>
      <c r="F9" s="382"/>
      <c r="G9" s="382"/>
      <c r="H9" s="382"/>
      <c r="I9" s="382"/>
      <c r="J9" s="382"/>
      <c r="K9" s="382"/>
      <c r="L9" s="382"/>
    </row>
    <row r="10" spans="1:12" x14ac:dyDescent="1.05">
      <c r="E10" s="382"/>
      <c r="F10" s="382"/>
      <c r="G10" s="382"/>
      <c r="H10" s="382"/>
      <c r="I10" s="382"/>
      <c r="J10" s="382"/>
      <c r="K10" s="382"/>
      <c r="L10" s="382"/>
    </row>
    <row r="11" spans="1:12" x14ac:dyDescent="1.05">
      <c r="E11" s="382"/>
      <c r="F11" s="382"/>
      <c r="G11" s="382"/>
      <c r="H11" s="382"/>
      <c r="I11" s="382"/>
      <c r="J11" s="382"/>
      <c r="K11" s="382"/>
      <c r="L11" s="382"/>
    </row>
    <row r="12" spans="1:12" x14ac:dyDescent="1.05">
      <c r="E12" s="382"/>
      <c r="F12" s="382"/>
      <c r="G12" s="382"/>
      <c r="H12" s="382"/>
      <c r="I12" s="382"/>
      <c r="J12" s="382"/>
      <c r="K12" s="382"/>
      <c r="L12" s="382"/>
    </row>
    <row r="13" spans="1:12" x14ac:dyDescent="1.05">
      <c r="E13" s="382"/>
      <c r="F13" s="382"/>
      <c r="G13" s="382"/>
      <c r="H13" s="382"/>
      <c r="I13" s="382"/>
      <c r="J13" s="382"/>
      <c r="K13" s="382"/>
      <c r="L13" s="382"/>
    </row>
    <row r="14" spans="1:12" x14ac:dyDescent="1.05">
      <c r="E14" s="382"/>
      <c r="F14" s="382"/>
      <c r="G14" s="382"/>
      <c r="H14" s="382"/>
      <c r="I14" s="382"/>
      <c r="J14" s="382"/>
      <c r="K14" s="382"/>
      <c r="L14" s="382"/>
    </row>
    <row r="15" spans="1:12" x14ac:dyDescent="1.05">
      <c r="E15" s="382"/>
      <c r="F15" s="382"/>
      <c r="G15" s="382"/>
      <c r="H15" s="382"/>
      <c r="I15" s="382"/>
      <c r="J15" s="382"/>
      <c r="K15" s="382"/>
      <c r="L15" s="382"/>
    </row>
    <row r="16" spans="1:12" x14ac:dyDescent="1.05">
      <c r="E16" s="382"/>
      <c r="F16" s="382"/>
      <c r="G16" s="382"/>
      <c r="H16" s="382"/>
      <c r="I16" s="382"/>
      <c r="J16" s="382"/>
      <c r="K16" s="382"/>
      <c r="L16" s="382"/>
    </row>
    <row r="17" spans="5:12" x14ac:dyDescent="1.05">
      <c r="E17" s="382"/>
      <c r="F17" s="382"/>
      <c r="G17" s="382"/>
      <c r="H17" s="382"/>
      <c r="I17" s="382"/>
      <c r="J17" s="382"/>
      <c r="K17" s="382"/>
      <c r="L17" s="382"/>
    </row>
    <row r="18" spans="5:12" x14ac:dyDescent="1.05">
      <c r="E18" s="382"/>
      <c r="F18" s="382"/>
      <c r="G18" s="382"/>
      <c r="H18" s="382"/>
      <c r="I18" s="382"/>
      <c r="J18" s="382"/>
      <c r="K18" s="382"/>
      <c r="L18" s="382"/>
    </row>
    <row r="19" spans="5:12" x14ac:dyDescent="1.05">
      <c r="E19" s="382"/>
      <c r="F19" s="382"/>
      <c r="G19" s="382"/>
      <c r="H19" s="382"/>
      <c r="I19" s="382"/>
      <c r="J19" s="382"/>
      <c r="K19" s="382"/>
      <c r="L19" s="382"/>
    </row>
    <row r="20" spans="5:12" x14ac:dyDescent="1.05">
      <c r="E20" s="382"/>
      <c r="F20" s="382"/>
      <c r="G20" s="382"/>
      <c r="H20" s="382"/>
      <c r="I20" s="382"/>
      <c r="J20" s="382"/>
      <c r="K20" s="382"/>
      <c r="L20" s="382"/>
    </row>
    <row r="21" spans="5:12" x14ac:dyDescent="1.05">
      <c r="E21" s="382"/>
      <c r="F21" s="382"/>
      <c r="G21" s="382"/>
      <c r="H21" s="382"/>
      <c r="I21" s="382"/>
      <c r="J21" s="382"/>
      <c r="K21" s="382"/>
      <c r="L21" s="382"/>
    </row>
    <row r="22" spans="5:12" x14ac:dyDescent="1.05">
      <c r="E22" s="382"/>
      <c r="F22" s="382"/>
      <c r="G22" s="382"/>
      <c r="H22" s="382"/>
      <c r="I22" s="382"/>
      <c r="J22" s="382"/>
      <c r="K22" s="382"/>
      <c r="L22" s="382"/>
    </row>
    <row r="23" spans="5:12" x14ac:dyDescent="1.05">
      <c r="E23" s="382"/>
      <c r="F23" s="382"/>
      <c r="G23" s="382"/>
      <c r="H23" s="382"/>
      <c r="I23" s="382"/>
      <c r="J23" s="382"/>
      <c r="K23" s="382"/>
      <c r="L23" s="382"/>
    </row>
    <row r="24" spans="5:12" x14ac:dyDescent="1.05">
      <c r="E24" s="382"/>
      <c r="F24" s="382"/>
      <c r="G24" s="382"/>
      <c r="H24" s="382"/>
      <c r="I24" s="382"/>
      <c r="J24" s="382"/>
      <c r="K24" s="382"/>
      <c r="L24" s="382"/>
    </row>
    <row r="25" spans="5:12" x14ac:dyDescent="1.05">
      <c r="E25" s="382"/>
      <c r="F25" s="382"/>
      <c r="G25" s="382"/>
      <c r="H25" s="382"/>
      <c r="I25" s="382"/>
      <c r="J25" s="382"/>
      <c r="K25" s="382"/>
      <c r="L25" s="382"/>
    </row>
    <row r="26" spans="5:12" x14ac:dyDescent="1.05">
      <c r="E26" s="382"/>
      <c r="F26" s="382"/>
      <c r="G26" s="382"/>
      <c r="H26" s="382"/>
      <c r="I26" s="382"/>
      <c r="J26" s="382"/>
      <c r="K26" s="382"/>
      <c r="L26" s="382"/>
    </row>
  </sheetData>
  <mergeCells count="2">
    <mergeCell ref="A1:A3"/>
    <mergeCell ref="B1:B3"/>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139BA-5940-4F6A-81B9-EE05B0521100}">
  <dimension ref="A1:B3"/>
  <sheetViews>
    <sheetView zoomScale="55" zoomScaleNormal="55" workbookViewId="0">
      <selection activeCell="O3" sqref="O3"/>
    </sheetView>
  </sheetViews>
  <sheetFormatPr defaultColWidth="9" defaultRowHeight="61.2" x14ac:dyDescent="1.05"/>
  <cols>
    <col min="1" max="1" width="30.109375" style="234" customWidth="1"/>
    <col min="2" max="2" width="23.44140625" style="234" customWidth="1"/>
    <col min="3" max="3" width="9" style="234"/>
    <col min="4" max="4" width="17" style="234" customWidth="1"/>
    <col min="5" max="16384" width="9" style="234"/>
  </cols>
  <sheetData>
    <row r="1" spans="1:2" ht="409.5" customHeight="1" x14ac:dyDescent="1.05">
      <c r="A1" s="652" t="s">
        <v>598</v>
      </c>
      <c r="B1" s="655" t="s">
        <v>598</v>
      </c>
    </row>
    <row r="2" spans="1:2" x14ac:dyDescent="1.05">
      <c r="A2" s="653"/>
      <c r="B2" s="656"/>
    </row>
    <row r="3" spans="1:2" ht="156.75" customHeight="1" thickBot="1" x14ac:dyDescent="1.1000000000000001">
      <c r="A3" s="654"/>
      <c r="B3" s="657"/>
    </row>
  </sheetData>
  <mergeCells count="2">
    <mergeCell ref="A1:A3"/>
    <mergeCell ref="B1:B3"/>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552A4-2729-4C07-8067-29FAE47A74F6}">
  <dimension ref="A1:B3"/>
  <sheetViews>
    <sheetView zoomScale="55" zoomScaleNormal="55" workbookViewId="0">
      <selection activeCell="B1" sqref="B1:B3"/>
    </sheetView>
  </sheetViews>
  <sheetFormatPr defaultColWidth="9" defaultRowHeight="61.2" x14ac:dyDescent="1.05"/>
  <cols>
    <col min="1" max="1" width="20.109375" style="234" customWidth="1"/>
    <col min="2" max="2" width="19" style="234" customWidth="1"/>
    <col min="3" max="3" width="9" style="234"/>
    <col min="4" max="4" width="17" style="234" customWidth="1"/>
    <col min="5" max="16384" width="9" style="234"/>
  </cols>
  <sheetData>
    <row r="1" spans="1:2" ht="409.5" customHeight="1" x14ac:dyDescent="1.05">
      <c r="A1" s="658" t="s">
        <v>599</v>
      </c>
      <c r="B1" s="661" t="s">
        <v>599</v>
      </c>
    </row>
    <row r="2" spans="1:2" x14ac:dyDescent="1.05">
      <c r="A2" s="659"/>
      <c r="B2" s="662"/>
    </row>
    <row r="3" spans="1:2" ht="156.75" customHeight="1" thickBot="1" x14ac:dyDescent="1.1000000000000001">
      <c r="A3" s="660"/>
      <c r="B3" s="663"/>
    </row>
  </sheetData>
  <mergeCells count="2">
    <mergeCell ref="A1:A3"/>
    <mergeCell ref="B1:B3"/>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C1128-0663-40C6-B3C2-F546340B49F9}">
  <dimension ref="A1:B3"/>
  <sheetViews>
    <sheetView zoomScale="55" zoomScaleNormal="55" workbookViewId="0">
      <selection activeCell="B1" sqref="B1:B3"/>
    </sheetView>
  </sheetViews>
  <sheetFormatPr defaultColWidth="9" defaultRowHeight="61.2" x14ac:dyDescent="1.05"/>
  <cols>
    <col min="1" max="1" width="22.109375" style="234" customWidth="1"/>
    <col min="2" max="2" width="19.6640625" style="234" customWidth="1"/>
    <col min="3" max="3" width="9" style="234"/>
    <col min="4" max="4" width="17" style="234" customWidth="1"/>
    <col min="5" max="16384" width="9" style="234"/>
  </cols>
  <sheetData>
    <row r="1" spans="1:2" ht="409.5" customHeight="1" x14ac:dyDescent="1.05">
      <c r="A1" s="658" t="s">
        <v>600</v>
      </c>
      <c r="B1" s="664" t="s">
        <v>600</v>
      </c>
    </row>
    <row r="2" spans="1:2" x14ac:dyDescent="1.05">
      <c r="A2" s="659"/>
      <c r="B2" s="665"/>
    </row>
    <row r="3" spans="1:2" ht="156.75" customHeight="1" thickBot="1" x14ac:dyDescent="1.1000000000000001">
      <c r="A3" s="660"/>
      <c r="B3" s="666"/>
    </row>
  </sheetData>
  <mergeCells count="2">
    <mergeCell ref="A1:A3"/>
    <mergeCell ref="B1:B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17</vt:i4>
      </vt:variant>
    </vt:vector>
  </HeadingPairs>
  <TitlesOfParts>
    <vt:vector size="33" baseType="lpstr">
      <vt:lpstr>Funds for BILLS </vt:lpstr>
      <vt:lpstr>BILL MEET </vt:lpstr>
      <vt:lpstr>STATUS</vt:lpstr>
      <vt:lpstr>BILLS 27 For Pay</vt:lpstr>
      <vt:lpstr>MahaSTRIDE BILLS 26</vt:lpstr>
      <vt:lpstr>EXPEND</vt:lpstr>
      <vt:lpstr> DEMAND</vt:lpstr>
      <vt:lpstr>DEMAND-2</vt:lpstr>
      <vt:lpstr>BILLS 2027</vt:lpstr>
      <vt:lpstr>Minutes BILLS 16.3.2026</vt:lpstr>
      <vt:lpstr>BILLS 16.3.2026</vt:lpstr>
      <vt:lpstr>Pending Bills- MahaSTRIDE</vt:lpstr>
      <vt:lpstr>Sheet2</vt:lpstr>
      <vt:lpstr>Sheet2 (2)</vt:lpstr>
      <vt:lpstr>Sheet2 (4)</vt:lpstr>
      <vt:lpstr>Sheet2 (3)</vt:lpstr>
      <vt:lpstr>'BILL MEET '!Print_Area</vt:lpstr>
      <vt:lpstr>'BILLS 16.3.2026'!Print_Area</vt:lpstr>
      <vt:lpstr>'BILLS 2027'!Print_Area</vt:lpstr>
      <vt:lpstr>'BILLS 27 For Pay'!Print_Area</vt:lpstr>
      <vt:lpstr>'Funds for BILLS '!Print_Area</vt:lpstr>
      <vt:lpstr>'MahaSTRIDE BILLS 26'!Print_Area</vt:lpstr>
      <vt:lpstr>'Minutes BILLS 16.3.2026'!Print_Area</vt:lpstr>
      <vt:lpstr>'Pending Bills- MahaSTRIDE'!Print_Area</vt:lpstr>
      <vt:lpstr>STATUS!Print_Area</vt:lpstr>
      <vt:lpstr>'BILL MEET '!Print_Titles</vt:lpstr>
      <vt:lpstr>'BILLS 16.3.2026'!Print_Titles</vt:lpstr>
      <vt:lpstr>'BILLS 2027'!Print_Titles</vt:lpstr>
      <vt:lpstr>'BILLS 27 For Pay'!Print_Titles</vt:lpstr>
      <vt:lpstr>'Funds for BILLS '!Print_Titles</vt:lpstr>
      <vt:lpstr>'MahaSTRIDE BILLS 26'!Print_Titles</vt:lpstr>
      <vt:lpstr>'Minutes BILLS 16.3.2026'!Print_Titles</vt:lpstr>
      <vt:lpstr>STATUS!Print_Titles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Mali, Harshal</dc:creator>
  <cp:keywords/>
  <dc:description/>
  <cp:lastModifiedBy>Sandesh  Joshi</cp:lastModifiedBy>
  <cp:revision/>
  <dcterms:created xsi:type="dcterms:W3CDTF">2025-09-30T12:52:17Z</dcterms:created>
  <dcterms:modified xsi:type="dcterms:W3CDTF">2026-09-13T15:30:28Z</dcterms:modified>
  <cp:category/>
  <cp:contentStatus/>
</cp:coreProperties>
</file>